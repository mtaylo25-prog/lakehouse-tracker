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Gantt" sheetId="2" state="visible" r:id="rId4"/>
    <sheet name="Costs" sheetId="3" state="visible" r:id="rId5"/>
    <sheet name="Gate" sheetId="4" state="visible" r:id="rId6"/>
  </sheets>
  <definedNames>
    <definedName function="false" hidden="false" localSheetId="0" name="_xlnm.Print_Area" vbProcedure="false">Cover!$A$1:$B$39</definedName>
    <definedName function="false" hidden="false" localSheetId="1" name="_xlnm.Print_Area" vbProcedure="false">Gantt!$A$1:$AK$61</definedName>
    <definedName function="false" hidden="false" localSheetId="1" name="_xlnm.Print_Titles" vbProcedure="false">Gantt!$5:$5</definedName>
    <definedName function="false" hidden="true" localSheetId="1" name="_xlnm._FilterDatabase" vbProcedure="false">Gantt!$A$5:$O$55</definedName>
    <definedName function="false" hidden="false" localSheetId="3" name="_xlnm.Print_Area" vbProcedure="false">Gate!$A$1:$N$46</definedName>
    <definedName function="false" hidden="false" name="CurrentWeek" vbProcedure="false">Gantt!$C$3</definedName>
    <definedName function="false" hidden="false" name="DependencyErrors" vbProcedure="false">Gantt!$M$3</definedName>
    <definedName function="false" hidden="false" name="GanttBasis" vbProcedure="false">Gantt!$K$6:$K$55</definedName>
    <definedName function="false" hidden="false" name="GanttCost" vbProcedure="false">Gantt!$H$6:$H$55</definedName>
    <definedName function="false" hidden="false" name="GanttCostPerWeek" vbProcedure="false">Gantt!$N$6:$N$55</definedName>
    <definedName function="false" hidden="false" name="GanttEnd" vbProcedure="false">Gantt!$F$6:$F$55</definedName>
    <definedName function="false" hidden="false" name="GanttOwner" vbProcedure="false">Gantt!$C$6:$C$55</definedName>
    <definedName function="false" hidden="false" name="GanttStart" vbProcedure="false">Gantt!$E$6:$E$55</definedName>
    <definedName function="false" hidden="false" name="GanttStatus" vbProcedure="false">Gantt!$L$6:$L$55</definedName>
    <definedName function="false" hidden="false" name="GanttTotalCost" vbProcedure="false">Gantt!$H$3</definedName>
    <definedName function="false" hidden="false" name="GanttType" vbProcedure="false">Gantt!$I$6:$I$55</definedName>
    <definedName function="false" hidden="false" name="GateModelResult" vbProcedure="false">Gate!$K$14</definedName>
    <definedName function="false" hidden="false" name="GateResult" vbProcedure="false">Gate!$M$14</definedName>
    <definedName function="false" hidden="false" name="OpeningCapital" vbProcedure="false">Gantt!$E$3</definedName>
    <definedName function="false" hidden="false" name="PlanCashOut" vbProcedure="false">Costs!$C$21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<sst xmlns="http://schemas.openxmlformats.org/spreadsheetml/2006/main" count="742" uniqueCount="399">
  <si>
    <t xml:space="preserve">BRAND LLC (limited liability company): 90 day launch plan (weeks 1 to 22)</t>
  </si>
  <si>
    <t xml:space="preserve">Built October 8, 2026. Weeks follow the critical path in BUILD_BRIEF.md. Every model number comes from build/figures.json (Medium case, copper duty, FX 1,430 KRW per USD).</t>
  </si>
  <si>
    <t xml:space="preserve">Tabs</t>
  </si>
  <si>
    <t xml:space="preserve">Gantt: one row per task with ID, Task, Owner, Support, Start week, End week, Depends on, Cost, Cost type, Gate or deliverable, Basis, Status, then the week grid 1 to 22 shaded by conditional formatting from the Start and End columns. Costs: SUMIFS by owner, by cost type, by week and by owner and week, with a check against the model. Gate: the Day 90 criteria with the Medium model values beside each threshold and an input column for the actuals.</t>
  </si>
  <si>
    <t xml:space="preserve">How to use</t>
  </si>
  <si>
    <t xml:space="preserve">Lucy and Mark update the Status column (dropdown) and the Current week cell on the Gantt tab every Monday. Change Start or End weeks when a task slips; the grid, the Costs tab and the Dependency check recalculate. Edit the Depends on column as plain text (task IDs separated by a comma and a space, up to four); the check reads it. At week 22 fill the yellow Actual cells on the Gate tab; the result formula reads PASS, REVIEW or KILL.</t>
  </si>
  <si>
    <t xml:space="preserve">Dependency check</t>
  </si>
  <si>
    <t xml:space="preserve">Column O on the Gantt tab flags a task (1 per problem, 0 = ok) when a task it depends on starts after it starts, ends after it ends, or has an ID that is not in the list. Tasks may overlap their predecessors (for example the bank application starts while the document pack is finished). The helper columns to the right of the week grid (Dep 1 to Dep 4 and their flags) parse the Depends on text; they are formulas and need no editing.</t>
  </si>
  <si>
    <t xml:space="preserve">Weeks and months</t>
  </si>
  <si>
    <t xml:space="preserve">Month 1 is the first month with inventory live on Amazon (assumed early 2027). Weeks 1 to 9 are pre launch (Month 0), Month 1 is weeks 10 to 13, Month 2 is weeks 14 to 17, Month 3 is weeks 18 to 22. The Day 90 gate is the end of Month 3, week 22. No calendar dates are assigned. The weeks match the brief's critical path: broker and binding ruling in week 1, test inventory landed by week 8, listings weeks 6 to 9, validation weeks 10 to 22.</t>
  </si>
  <si>
    <t xml:space="preserve">Owners</t>
  </si>
  <si>
    <r>
      <rPr>
        <sz val="10"/>
        <color rgb="FF000000"/>
        <rFont val="Arial"/>
        <family val="0"/>
        <charset val="1"/>
      </rPr>
      <t xml:space="preserve">Lucy (owner, decides and pays), Mark (US operations support under a consulting agreement, prepares), attorney (US licensed), broker (customs broker), factory (COMQ supplier in China), 3PL (third party logistics warehouse in the US), VA (virtual assistant). The Korean tax accountant (</t>
    </r>
    <r>
      <rPr>
        <sz val="10"/>
        <color rgb="FF000000"/>
        <rFont val="WenQuanYi Zen Hei"/>
        <family val="2"/>
      </rPr>
      <t xml:space="preserve">세무사</t>
    </r>
    <r>
      <rPr>
        <sz val="10"/>
        <color rgb="FF000000"/>
        <rFont val="Arial"/>
        <family val="0"/>
        <charset val="1"/>
      </rPr>
      <t xml:space="preserve">) and the US CPA (certified public accountant) appear in the Support column.</t>
    </r>
  </si>
  <si>
    <t xml:space="preserve">Cost column</t>
  </si>
  <si>
    <t xml:space="preserve">USD cash out in the week range of the task. Launch budget tasks sum to the model's one time launch cost of $9,500 (evidence based total, management estimate split). Inventory rows are the Medium case purchase orders for Months 0 to 3 from the model's Cash Flow and Working Capital tab. Advertising is not a task cost: it sits in the P&amp;L as a percent of revenue.</t>
  </si>
  <si>
    <t xml:space="preserve">Legend</t>
  </si>
  <si>
    <t xml:space="preserve">Yellow fill with blue text = input. Black = formula or fixed text. Green = reads another tab. Grid colors by owner: Lucy, Mark, attorney, broker, factory, 3PL, VA (see the swatches below). A Done task shows a green grid. Amber rows are gate milestones.</t>
  </si>
  <si>
    <t xml:space="preserve">Basis</t>
  </si>
  <si>
    <t xml:space="preserve">Evidence based = brief section 1, the August model, a verified regulatory fact or a model output. Management estimate = a cost or duration not yet quoted; the deliverable text names the placeholder to fill.</t>
  </si>
  <si>
    <t xml:space="preserve">Rule</t>
  </si>
  <si>
    <t xml:space="preserve">No hyphens or dashes in any text. Official form and registration numbers keep their format (Form SS-4, 599-64-00496).</t>
  </si>
  <si>
    <t xml:space="preserve">Owner swatches</t>
  </si>
  <si>
    <t xml:space="preserve">Lucy</t>
  </si>
  <si>
    <t xml:space="preserve">Mark</t>
  </si>
  <si>
    <t xml:space="preserve">attorney</t>
  </si>
  <si>
    <t xml:space="preserve">broker</t>
  </si>
  <si>
    <t xml:space="preserve">factory</t>
  </si>
  <si>
    <t xml:space="preserve">3PL</t>
  </si>
  <si>
    <t xml:space="preserve">VA</t>
  </si>
  <si>
    <t xml:space="preserve">Done</t>
  </si>
  <si>
    <t xml:space="preserve">Gate milestone</t>
  </si>
  <si>
    <t xml:space="preserve">Headline numbers (Medium)</t>
  </si>
  <si>
    <t xml:space="preserve">Opening capital</t>
  </si>
  <si>
    <t xml:space="preserve">$39,000</t>
  </si>
  <si>
    <t xml:space="preserve">Cash out in this plan, weeks 1 to 22 (Costs tab)</t>
  </si>
  <si>
    <t xml:space="preserve">Funding gap in the model</t>
  </si>
  <si>
    <t xml:space="preserve">$116K needed by Month 2 (1.2 times the peak need of $96K in Month 12)</t>
  </si>
  <si>
    <t xml:space="preserve">Cash at end of Month 3</t>
  </si>
  <si>
    <t xml:space="preserve">($9,084) before funding; $106,499 after funding</t>
  </si>
  <si>
    <t xml:space="preserve">Day 90 gate, model result</t>
  </si>
  <si>
    <t xml:space="preserve">PASS (Low REVIEW, High PASS)</t>
  </si>
  <si>
    <t xml:space="preserve">Glossary (every acronym used in this workbook)</t>
  </si>
  <si>
    <t xml:space="preserve">Glossary 1 of 7</t>
  </si>
  <si>
    <t xml:space="preserve">3PL: third party logistics warehouse. ACOS: advertising cost of sales (ad spend divided by ad attributed sales). AOC: active optical cable. ASIN: Amazon Standard Identification Number. ASP: average selling price.</t>
  </si>
  <si>
    <t xml:space="preserve">Glossary 2 of 7</t>
  </si>
  <si>
    <t xml:space="preserve">ATC: HDMI Authorized Test Center. CBP: US Customs and Border Protection. CL3: in wall cable fire rating (Class 3). COGS: cost of goods sold. CPA: US certified public accountant.</t>
  </si>
  <si>
    <t xml:space="preserve">Glossary 3 of 7</t>
  </si>
  <si>
    <t xml:space="preserve">DDP: delivered duty paid. EIN: Employer Identification Number. FBA: Fulfillment by Amazon. FCC: Federal Communications Commission. FNSKU: Fulfillment Network Stock Keeping Unit (Amazon's barcode).</t>
  </si>
  <si>
    <t xml:space="preserve">Glossary 4 of 7</t>
  </si>
  <si>
    <t xml:space="preserve">FOB: free on board (the price at the factory's port). FX: foreign exchange rate (KRW per USD). HDMI: High Definition Multimedia Interface. HTS: Harmonized Tariff Schedule. IP: intellectual property.</t>
  </si>
  <si>
    <t xml:space="preserve">Glossary 5 of 7</t>
  </si>
  <si>
    <r>
      <rPr>
        <sz val="10"/>
        <color rgb="FF000000"/>
        <rFont val="Arial"/>
        <family val="0"/>
        <charset val="1"/>
      </rPr>
      <t xml:space="preserve">IRS: Internal Revenue Service. KPI: key performance indicator. LLC: limited liability company. ODI: overseas direct investment report (</t>
    </r>
    <r>
      <rPr>
        <sz val="10"/>
        <color rgb="FF000000"/>
        <rFont val="WenQuanYi Zen Hei"/>
        <family val="2"/>
      </rPr>
      <t xml:space="preserve">해외직접투자 신고</t>
    </r>
    <r>
      <rPr>
        <sz val="10"/>
        <color rgb="FF000000"/>
        <rFont val="Arial"/>
        <family val="0"/>
        <charset val="1"/>
      </rPr>
      <t xml:space="preserve">). PO: purchase order.</t>
    </r>
  </si>
  <si>
    <t xml:space="preserve">Glossary 6 of 7</t>
  </si>
  <si>
    <t xml:space="preserve">PPC: pay per click advertising. Prop 65: California Proposition 65 warning label. QC: quality control. QR: quick response code. SKU: stock keeping unit.</t>
  </si>
  <si>
    <t xml:space="preserve">Glossary 7 of 7</t>
  </si>
  <si>
    <r>
      <rPr>
        <sz val="10"/>
        <color rgb="FF000000"/>
        <rFont val="Arial"/>
        <family val="0"/>
        <charset val="1"/>
      </rPr>
      <t xml:space="preserve">SSN: Social Security Number. TACOS: total advertising cost of sales (ad spend divided by total sales). USPTO: United States Patent and Trademark Office. VA: virtual assistant. </t>
    </r>
    <r>
      <rPr>
        <sz val="10"/>
        <color rgb="FF000000"/>
        <rFont val="WenQuanYi Zen Hei"/>
        <family val="2"/>
      </rPr>
      <t xml:space="preserve">세무사</t>
    </r>
    <r>
      <rPr>
        <sz val="10"/>
        <color rgb="FF000000"/>
        <rFont val="Arial"/>
        <family val="0"/>
        <charset val="1"/>
      </rPr>
      <t xml:space="preserve">: Korean licensed tax accountant.</t>
    </r>
  </si>
  <si>
    <t xml:space="preserve">Gantt: 90 day launch plan, weeks 1 to 22 (Day 90 gate at week 22)</t>
  </si>
  <si>
    <t xml:space="preserve">Grid shading is conditional formatting from Start week and End week, colored by Owner. Change Start, End, Depends on, Status or the Current week; nothing else needs editing. Acronyms are defined at first use and in the Cover glossary.</t>
  </si>
  <si>
    <t xml:space="preserve">Current week</t>
  </si>
  <si>
    <t xml:space="preserve">Total cost</t>
  </si>
  <si>
    <t xml:space="preserve">Tasks</t>
  </si>
  <si>
    <t xml:space="preserve">Dependency errors (0 = ok)</t>
  </si>
  <si>
    <t xml:space="preserve">Week</t>
  </si>
  <si>
    <t xml:space="preserve">Month 1</t>
  </si>
  <si>
    <t xml:space="preserve">Month 2</t>
  </si>
  <si>
    <t xml:space="preserve">Month 3</t>
  </si>
  <si>
    <t xml:space="preserve">Gate</t>
  </si>
  <si>
    <t xml:space="preserve">Helper columns: dependency IDs parsed from Depends on (formulas, no editing). Flag = that task starts after this one starts, ends after this one ends, or its ID is unknown.</t>
  </si>
  <si>
    <t xml:space="preserve">ID</t>
  </si>
  <si>
    <t xml:space="preserve">Task</t>
  </si>
  <si>
    <t xml:space="preserve">Owner</t>
  </si>
  <si>
    <t xml:space="preserve">Support</t>
  </si>
  <si>
    <t xml:space="preserve">Start week</t>
  </si>
  <si>
    <t xml:space="preserve">End week</t>
  </si>
  <si>
    <t xml:space="preserve">Depends on</t>
  </si>
  <si>
    <t xml:space="preserve">Cost</t>
  </si>
  <si>
    <t xml:space="preserve">Cost type</t>
  </si>
  <si>
    <t xml:space="preserve">Gate or deliverable</t>
  </si>
  <si>
    <t xml:space="preserve">Status</t>
  </si>
  <si>
    <t xml:space="preserve">Weeks</t>
  </si>
  <si>
    <t xml:space="preserve">Cost per week</t>
  </si>
  <si>
    <t xml:space="preserve">Dep 1</t>
  </si>
  <si>
    <t xml:space="preserve">Dep 2</t>
  </si>
  <si>
    <t xml:space="preserve">Dep 3</t>
  </si>
  <si>
    <t xml:space="preserve">Dep 4</t>
  </si>
  <si>
    <t xml:space="preserve">Flag 1</t>
  </si>
  <si>
    <t xml:space="preserve">Flag 2</t>
  </si>
  <si>
    <t xml:space="preserve">Flag 3</t>
  </si>
  <si>
    <t xml:space="preserve">Flag 4</t>
  </si>
  <si>
    <t xml:space="preserve">Weeks 1 to 4: brand, entity, Korea filing, bank, customs (brief critical path items 1 to 5)</t>
  </si>
  <si>
    <t xml:space="preserve">A1</t>
  </si>
  <si>
    <t xml:space="preserve">Decide the US brand name so the legal name BRAND LLC is final before any filing</t>
  </si>
  <si>
    <t xml:space="preserve">No cash cost</t>
  </si>
  <si>
    <t xml:space="preserve">Name recorded in 11_Decision_Log.md; the same spelling is then used at the state, the IRS, the bank and Amazon</t>
  </si>
  <si>
    <t xml:space="preserve">Evidence based</t>
  </si>
  <si>
    <t xml:space="preserve">Not started</t>
  </si>
  <si>
    <t xml:space="preserve">A2</t>
  </si>
  <si>
    <t xml:space="preserve">Trademark clearance search and USPTO (United States Patent and Trademark Office) application in one class through a US licensed attorney</t>
  </si>
  <si>
    <t xml:space="preserve">Launch budget</t>
  </si>
  <si>
    <t xml:space="preserve">USPTO serial number [PLACEHOLDER: serial number]. USPTO fee $350 per class (brief); attorney fee $850 is a management estimate [PLACEHOLDER: attorney quote]</t>
  </si>
  <si>
    <t xml:space="preserve">Management estimate</t>
  </si>
  <si>
    <t xml:space="preserve">A3</t>
  </si>
  <si>
    <t xml:space="preserve">Wyoming single member LLC: articles of organization, registered agent, operating agreement naming Lucy as 100% owner</t>
  </si>
  <si>
    <t xml:space="preserve">Certificate of organization. State fee $100 (brief); registered agent and operating agreement $600 are management estimates</t>
  </si>
  <si>
    <t xml:space="preserve">A4</t>
  </si>
  <si>
    <t xml:space="preserve">EIN (Employer Identification Number) by phone or fax with Form SS-4; no SSN (Social Security Number) needed</t>
  </si>
  <si>
    <t xml:space="preserve">IRS (Internal Revenue Service) EIN confirmation letter [PLACEHOLDER: EIN]. The EIN is the importer of record number and the tax ID for the bank and Amazon</t>
  </si>
  <si>
    <t xml:space="preserve">A5</t>
  </si>
  <si>
    <t xml:space="preserve">Written consulting or commission agreement between BRAND LLC and Mark Taylor (no equity, no authority to negotiate or sign)</t>
  </si>
  <si>
    <t xml:space="preserve">Lucy, Mark</t>
  </si>
  <si>
    <t xml:space="preserve">Signed agreement. Keeps the treaty position: no dependent agent in the US. Fee is a management estimate [PLACEHOLDER: attorney quote]</t>
  </si>
  <si>
    <t xml:space="preserve">A6</t>
  </si>
  <si>
    <t xml:space="preserve">Document pack with the exact legal name: certificate, EIN letter, operating agreement, owner ID, US mailing address</t>
  </si>
  <si>
    <t xml:space="preserve">One folder used for the bank, Amazon and the broker. Notary, mailbox and courier costs are a management estimate</t>
  </si>
  <si>
    <t xml:space="preserve">A7</t>
  </si>
  <si>
    <t xml:space="preserve">Korean overseas direct investment (ODI) report at the foreign exchange bank, before any capital moves</t>
  </si>
  <si>
    <r>
      <rPr>
        <sz val="10"/>
        <color rgb="FF000000"/>
        <rFont val="Arial"/>
        <family val="0"/>
        <charset val="1"/>
      </rPr>
      <t xml:space="preserve">Korean tax accountant (</t>
    </r>
    <r>
      <rPr>
        <sz val="10"/>
        <color rgb="FF000000"/>
        <rFont val="WenQuanYi Zen Hei"/>
        <family val="2"/>
      </rPr>
      <t xml:space="preserve">세무사</t>
    </r>
    <r>
      <rPr>
        <sz val="10"/>
        <color rgb="FF000000"/>
        <rFont val="Arial"/>
        <family val="0"/>
        <charset val="1"/>
      </rPr>
      <t xml:space="preserve">)</t>
    </r>
  </si>
  <si>
    <r>
      <rPr>
        <sz val="10"/>
        <color rgb="FF000000"/>
        <rFont val="Arial"/>
        <family val="0"/>
        <charset val="1"/>
      </rPr>
      <t xml:space="preserve">Bank acceptance of the ODI report. Hard stop: no transfer before acceptance. </t>
    </r>
    <r>
      <rPr>
        <sz val="10"/>
        <color rgb="FF000000"/>
        <rFont val="WenQuanYi Zen Hei"/>
        <family val="2"/>
      </rPr>
      <t xml:space="preserve">세무사 </t>
    </r>
    <r>
      <rPr>
        <sz val="10"/>
        <color rgb="FF000000"/>
        <rFont val="Arial"/>
        <family val="0"/>
        <charset val="1"/>
      </rPr>
      <t xml:space="preserve">support fee is a management estimate [PLACEHOLDER: </t>
    </r>
    <r>
      <rPr>
        <sz val="10"/>
        <color rgb="FF000000"/>
        <rFont val="WenQuanYi Zen Hei"/>
        <family val="2"/>
      </rPr>
      <t xml:space="preserve">세무사 </t>
    </r>
    <r>
      <rPr>
        <sz val="10"/>
        <color rgb="FF000000"/>
        <rFont val="Arial"/>
        <family val="0"/>
        <charset val="1"/>
      </rPr>
      <t xml:space="preserve">quote]</t>
    </r>
  </si>
  <si>
    <t xml:space="preserve">A8</t>
  </si>
  <si>
    <t xml:space="preserve">USD bank account for BRAND LLC (Mercury or Relay; Payoneer or WorldFirst as fallback)</t>
  </si>
  <si>
    <t xml:space="preserve">A4, A6</t>
  </si>
  <si>
    <t xml:space="preserve">Account open under the exact legal name and EIN</t>
  </si>
  <si>
    <t xml:space="preserve">A9</t>
  </si>
  <si>
    <t xml:space="preserve">Capital transfer of the opening capital $39,000 (KRW to USD at the FX input), then the Korean remittance and securities acquisition reports</t>
  </si>
  <si>
    <t xml:space="preserve">A7, A8</t>
  </si>
  <si>
    <t xml:space="preserve">Funds in the LLC account; bank acknowledgments of the follow up reports. Opening capital is the August funding ask (DECISIONS.md decision 3)</t>
  </si>
  <si>
    <t xml:space="preserve">A10</t>
  </si>
  <si>
    <t xml:space="preserve">US CPA engaged: treaty memo (no permanent establishment from FBA stock), Form 5472 calendar, California nexus question</t>
  </si>
  <si>
    <t xml:space="preserve">Engagement letter and memo. Annual Form 5472 preparation $800 sits in the model from Year 2; penalty for a missed filing $25,000</t>
  </si>
  <si>
    <t xml:space="preserve">B1</t>
  </si>
  <si>
    <t xml:space="preserve">Customs broker engaged: power of attorney, importer of record set up on the EIN</t>
  </si>
  <si>
    <t xml:space="preserve">Signed broker agreement. Setup fee is a management estimate [PLACEHOLDER: broker quote]</t>
  </si>
  <si>
    <t xml:space="preserve">B2</t>
  </si>
  <si>
    <t xml:space="preserve">Continuous customs bond ($500 per year)</t>
  </si>
  <si>
    <t xml:space="preserve">A4, B1</t>
  </si>
  <si>
    <t xml:space="preserve">Bond number [PLACEHOLDER: bond number]. Required for formal entry; de minimis is gone</t>
  </si>
  <si>
    <t xml:space="preserve">B3</t>
  </si>
  <si>
    <t xml:space="preserve">CBP (US Customs and Border Protection) binding ruling request filed in week 1: optical fiber cable 8544.70.00 versus electric conductor 8544.42.90</t>
  </si>
  <si>
    <t xml:space="preserve">Mark, factory</t>
  </si>
  <si>
    <t xml:space="preserve">Ruling request number [PLACEHOLDER: request number]. Preparation fee is a management estimate. Answer takes 30 to 90 days</t>
  </si>
  <si>
    <t xml:space="preserve">B4</t>
  </si>
  <si>
    <t xml:space="preserve">Ruling answer window (30 to 90 days): track, answer CBP questions, keep the copper rate (40.1%) in every budget until the letter arrives</t>
  </si>
  <si>
    <t xml:space="preserve">Ruling letter [PLACEHOLDER: ruling number]. A fiber ruling moves landed COGS from 38.0% to 33.5% (Levers tab, lever 1)</t>
  </si>
  <si>
    <t xml:space="preserve">Weeks 2 to 9: Amazon account, product compliance, test inventory, logistics (critical path items 6 and 7)</t>
  </si>
  <si>
    <t xml:space="preserve">C1</t>
  </si>
  <si>
    <t xml:space="preserve">Amazon Professional seller account: identity verification, tax interview as a foreign owned entity, bank link</t>
  </si>
  <si>
    <t xml:space="preserve">A6, A8</t>
  </si>
  <si>
    <t xml:space="preserve">Seller Central account active. The $39.99 monthly fee is counted from Month 1 in task F2</t>
  </si>
  <si>
    <t xml:space="preserve">C2</t>
  </si>
  <si>
    <t xml:space="preserve">Amazon Brand Registry with the pending trademark application</t>
  </si>
  <si>
    <t xml:space="preserve">A2, C1</t>
  </si>
  <si>
    <t xml:space="preserve">Brand Registry approval: unlocks A+ content, Brand Store, video ads and hijacker protection</t>
  </si>
  <si>
    <t xml:space="preserve">C3</t>
  </si>
  <si>
    <t xml:space="preserve">Product liability insurance quote ($1,000,000 cover, required once sales pass $10,000 in a month) and binder deposit</t>
  </si>
  <si>
    <t xml:space="preserve">Quote on file [PLACEHOLDER: insurer quote]. Deposit is a management estimate inside the launch budget</t>
  </si>
  <si>
    <t xml:space="preserve">D1</t>
  </si>
  <si>
    <t xml:space="preserve">Factory document pack: HDMI (High Definition Multimedia Interface) Adopter certificate and ATC (HDMI Authorized Test Center) test report, FCC (Federal Communications Commission) test report for the active heads, CL3 (in wall cable fire rating, Class 3) documentation</t>
  </si>
  <si>
    <t xml:space="preserve">Hard stop before the purchase order. [PLACEHOLDER: HDMI Adopter certificate number], [PLACEHOLDER: FCC report number], [PLACEHOLDER: CL3 report]</t>
  </si>
  <si>
    <t xml:space="preserve">D2</t>
  </si>
  <si>
    <t xml:space="preserve">Packaging artwork: Ultra High Speed HDMI Cable category name (no version numbers), Prop 65 label, SOURCE and DISPLAY end markings, QR (quick response) code to the setup video, BRAND placeholder</t>
  </si>
  <si>
    <t xml:space="preserve">factory, Mark</t>
  </si>
  <si>
    <t xml:space="preserve">A1, D1</t>
  </si>
  <si>
    <t xml:space="preserve">Approved artwork proof. Artwork fee is a management estimate</t>
  </si>
  <si>
    <t xml:space="preserve">D3</t>
  </si>
  <si>
    <t xml:space="preserve">Samples of the 5 launch SKUs shipped to Memphis for photography, direction proof test and packaging check</t>
  </si>
  <si>
    <t xml:space="preserve">Samples received and tested. Sample and courier cost is a management estimate</t>
  </si>
  <si>
    <t xml:space="preserve">D4</t>
  </si>
  <si>
    <t xml:space="preserve">Lot 1 purchase order: 5 launch SKUs, about 1,067 units (about 213 per SKU, inside the brief's 100 to 300). FOB $7,871: 30% deposit at order, 70% at shipment</t>
  </si>
  <si>
    <t xml:space="preserve">A9, D1, D2</t>
  </si>
  <si>
    <t xml:space="preserve">Inventory</t>
  </si>
  <si>
    <t xml:space="preserve">Signed PO and payment receipts. Units and FOB are the Medium Month 1 arrivals from the model (Cash Flow and Working Capital tab)</t>
  </si>
  <si>
    <t xml:space="preserve">D5</t>
  </si>
  <si>
    <t xml:space="preserve">3PL onboarding: account, receiving rules, FBA prep profile, Amazon shipping plan template</t>
  </si>
  <si>
    <t xml:space="preserve">3PL agreement [PLACEHOLDER: 3PL quote]. Setup fee is a management estimate</t>
  </si>
  <si>
    <t xml:space="preserve">D6</t>
  </si>
  <si>
    <t xml:space="preserve">Third party QC (quality control) inspection before departure and FNSKU (Fulfillment Network Stock Keeping Unit, Amazon's barcode) labels applied at the factory ($0.25 per unit in the landed cost)</t>
  </si>
  <si>
    <t xml:space="preserve">QC report [PLACEHOLDER: inspection report]. Per unit cost is inside the lot 1 arrival charges (D7)</t>
  </si>
  <si>
    <t xml:space="preserve">D7</t>
  </si>
  <si>
    <t xml:space="preserve">Lot 1 air DDP (delivered duty paid) shipment, formal entry by the broker, duty at the copper rate, 3PL receiving and FBA inbound prep: $9,153 on arrival</t>
  </si>
  <si>
    <t xml:space="preserve">factory, 3PL</t>
  </si>
  <si>
    <t xml:space="preserve">B2, D5, D6</t>
  </si>
  <si>
    <t xml:space="preserve">Entry summary and 3PL receiving report. Freight, duty, broker, inbound and QC per unit from the model (landed cost less FOB). Test inventory lands in week 8 (brief critical path item 7)</t>
  </si>
  <si>
    <t xml:space="preserve">D8</t>
  </si>
  <si>
    <t xml:space="preserve">First FBA inbound shipment from the 3PL; stock checked in before Month 1</t>
  </si>
  <si>
    <t xml:space="preserve">FBA inventory available in Seller Central</t>
  </si>
  <si>
    <t xml:space="preserve">Weeks 5 to 9: listings and content (critical path item 8)</t>
  </si>
  <si>
    <t xml:space="preserve">E1</t>
  </si>
  <si>
    <t xml:space="preserve">Photography and video for the 7 image slots and the video slot (09_Amazon_Listing_Kit.docx image brief)</t>
  </si>
  <si>
    <t xml:space="preserve">Final images and video files. Studio cost is a management estimate [PLACEHOLDER: studio quote]</t>
  </si>
  <si>
    <t xml:space="preserve">E2</t>
  </si>
  <si>
    <t xml:space="preserve">Listing copy: one parent ASIN per line with children by length, titles under 200 characters, five bullets, backend keywords, HDMI naming rule</t>
  </si>
  <si>
    <t xml:space="preserve">Listing flat file uploaded. VA hours are a management estimate</t>
  </si>
  <si>
    <t xml:space="preserve">E3</t>
  </si>
  <si>
    <t xml:space="preserve">A+ content (7 modules) and Brand Store</t>
  </si>
  <si>
    <t xml:space="preserve">C2, E1, E2</t>
  </si>
  <si>
    <t xml:space="preserve">A+ pages approved by Amazon. VA hours are a management estimate</t>
  </si>
  <si>
    <t xml:space="preserve">E4</t>
  </si>
  <si>
    <t xml:space="preserve">Keyword research, PPC (pay per click advertising) campaign structure (auto plus manual), negative keyword list, ad budget caps</t>
  </si>
  <si>
    <t xml:space="preserve">Campaigns built and paused until stock is live. Keyword tool subscription is a management estimate</t>
  </si>
  <si>
    <t xml:space="preserve">E5</t>
  </si>
  <si>
    <t xml:space="preserve">Spec Match finder page and trade up registration form (off Amazon email list), QR setup video live</t>
  </si>
  <si>
    <t xml:space="preserve">Pages live and linked from the insert card. Site tool cost is a management estimate</t>
  </si>
  <si>
    <t xml:space="preserve">E6</t>
  </si>
  <si>
    <t xml:space="preserve">Listings live with the price ladder (list price versus sale price) and launch coupon; PPC campaigns switched on</t>
  </si>
  <si>
    <t xml:space="preserve">D8, E3, E4</t>
  </si>
  <si>
    <t xml:space="preserve">Month 1 starts (first month with inventory live on Amazon)</t>
  </si>
  <si>
    <t xml:space="preserve">Weeks 10 to 22: 90 day validation, Months 1 to 3 (critical path item 9)</t>
  </si>
  <si>
    <t xml:space="preserve">F1</t>
  </si>
  <si>
    <t xml:space="preserve">Month 1 selling: Medium plan 150 units, revenue $6,300; Vine enrollment and insert card for review velocity; daily listing and account health check</t>
  </si>
  <si>
    <t xml:space="preserve">Lucy, VA</t>
  </si>
  <si>
    <t xml:space="preserve">Weekly KPI sheet: conversion, TACOS, return rate, contribution per SKU. Advertising is in the P&amp;L at 30% of revenue, not in this cost column</t>
  </si>
  <si>
    <t xml:space="preserve">F2</t>
  </si>
  <si>
    <t xml:space="preserve">Fixed costs Months 1 to 3: software, insurance and misc $850 per month plus the Professional seller fee $39.99 per month</t>
  </si>
  <si>
    <t xml:space="preserve">Fixed cost</t>
  </si>
  <si>
    <t xml:space="preserve">Paid monthly from the LLC account. August model fixed cost lines</t>
  </si>
  <si>
    <t xml:space="preserve">F3</t>
  </si>
  <si>
    <t xml:space="preserve">Lot 2 purchase order in Month 1 (arrives Month 2): about 582 units, FOB $4,292 (30% deposit, 70% at shipment)</t>
  </si>
  <si>
    <t xml:space="preserve">D4, E6</t>
  </si>
  <si>
    <t xml:space="preserve">PO and payment receipts, placed once listings are live (E6). Order up to level from the reorder table (05_Operating_Processes.docx section 5)</t>
  </si>
  <si>
    <t xml:space="preserve">F4</t>
  </si>
  <si>
    <t xml:space="preserve">Lot 2 arrival: air freight, duty, broker, inbound and QC $4,991</t>
  </si>
  <si>
    <t xml:space="preserve">Entry summary and 3PL receiving report</t>
  </si>
  <si>
    <t xml:space="preserve">F5</t>
  </si>
  <si>
    <t xml:space="preserve">Month 2 selling: Medium plan 240 units, revenue $10,080; first keyword pruning and negative keyword pass; coupon review</t>
  </si>
  <si>
    <t xml:space="preserve">Weekly KPI sheet; TACOS must be falling month over month by the gate</t>
  </si>
  <si>
    <t xml:space="preserve">F6</t>
  </si>
  <si>
    <t xml:space="preserve">Lot 3 purchase order in Month 2 (arrives Month 3): about 743 units, FOB $5,485</t>
  </si>
  <si>
    <t xml:space="preserve">F3, F4</t>
  </si>
  <si>
    <t xml:space="preserve">PO and payment receipts, placed once lot 2 has arrived (F4) and the Month 1 sales are known</t>
  </si>
  <si>
    <t xml:space="preserve">F7</t>
  </si>
  <si>
    <t xml:space="preserve">Funding line in place by Month 2: the model draws $116K (1.2 times the peak need of $96K in Month 12) so the cash balance never goes negative</t>
  </si>
  <si>
    <t xml:space="preserve">A9, A10</t>
  </si>
  <si>
    <t xml:space="preserve">Signed line of credit or investor agreement [PLACEHOLDER: lender or investor]. Korean change report before the money moves. Amount from the Funding and Breakeven tab (Medium)</t>
  </si>
  <si>
    <t xml:space="preserve">F8</t>
  </si>
  <si>
    <t xml:space="preserve">Lot 3 arrival: air freight, duty, broker, inbound and QC $6,378</t>
  </si>
  <si>
    <t xml:space="preserve">F9</t>
  </si>
  <si>
    <t xml:space="preserve">Month 3 selling: Medium plan 360 units, revenue $15,120; hold ad caps; collect the gate evidence</t>
  </si>
  <si>
    <t xml:space="preserve">Weekly KPI sheet and the Gate tab filled in with actuals</t>
  </si>
  <si>
    <t xml:space="preserve">F10</t>
  </si>
  <si>
    <t xml:space="preserve">Lot 4 purchase order in Month 3 (arrives Month 4, after the gate): about 917 units, FOB $6,764; sized down if the gate reads REVIEW or KILL</t>
  </si>
  <si>
    <t xml:space="preserve">F6, F8</t>
  </si>
  <si>
    <t xml:space="preserve">PO and payment receipts, placed once lot 3 has arrived (F8). Arrival charges fall in Month 4, outside this plan</t>
  </si>
  <si>
    <t xml:space="preserve">F11</t>
  </si>
  <si>
    <t xml:space="preserve">Bind the $1,000,000 product liability policy ($1,200 per year) before Month 2, when Medium monthly sales pass $10,000</t>
  </si>
  <si>
    <t xml:space="preserve">Insurance</t>
  </si>
  <si>
    <t xml:space="preserve">Policy certificate [PLACEHOLDER: policy number]. Premium is the model input (management estimate)</t>
  </si>
  <si>
    <t xml:space="preserve">F12</t>
  </si>
  <si>
    <t xml:space="preserve">Weekly operating cadence: Monday KPI review (Mark prepares, Lucy decides), inventory position, account health, returns log</t>
  </si>
  <si>
    <t xml:space="preserve">13 weekly notes in the shared folder (05_Operating_Processes.docx section 7)</t>
  </si>
  <si>
    <t xml:space="preserve">Week 22: Day 90 gate (critical path items 9 and 10)</t>
  </si>
  <si>
    <t xml:space="preserve">G1</t>
  </si>
  <si>
    <t xml:space="preserve">Day 90 gate pack: actuals for every criterion on the Gate tab, cash runway after funding the next PO, listing and IP status</t>
  </si>
  <si>
    <t xml:space="preserve">F9, F12</t>
  </si>
  <si>
    <t xml:space="preserve">GATE: Gate tab result PASS, REVIEW or KILL. Medium model result at Day 90: PASS</t>
  </si>
  <si>
    <t xml:space="preserve">G2</t>
  </si>
  <si>
    <t xml:space="preserve">Gate decision by Lucy: PASS scales winners on ocean freight and delists losers; REVIEW fixes and retests within 30 days; KILL stops further capital and moves to Plan B</t>
  </si>
  <si>
    <t xml:space="preserve">GATE: signed decision note in 11_Decision_Log.md. Ocean PO is sized at the gate from the reorder table; not in this budget</t>
  </si>
  <si>
    <t xml:space="preserve">Notes</t>
  </si>
  <si>
    <t xml:space="preserve">Advertising (30% of revenue in Months 1 to 3, Medium) is paid from Amazon proceeds inside the P&amp;L and is not a task cost here.</t>
  </si>
  <si>
    <t xml:space="preserve">Inventory rows D4, D7, F3, F4, F6, F8 and F10 equal the model's inventory cash out for Months 0 to 3 ($44,935); the Costs tab checks this.</t>
  </si>
  <si>
    <t xml:space="preserve">The ocean freight purchase order after a PASS is sized at the gate from the reorder table and is outside this budget (critical path item 10).</t>
  </si>
  <si>
    <t xml:space="preserve">Korean follow up reports (remittance, securities acquisition, annual business performance) and the overseas financial account report are on 06_Compliance_Checklist.xlsx.</t>
  </si>
  <si>
    <t xml:space="preserve">Costs: cash out by owner, by cost type, by week and by owner and week (SUMIFS over the Gantt tab)</t>
  </si>
  <si>
    <t xml:space="preserve">Every cell here is a live formula over the Gantt tab except the model reference values, which are written from build/figures.json (Medium case) for the check rows.</t>
  </si>
  <si>
    <t xml:space="preserve">By owner</t>
  </si>
  <si>
    <t xml:space="preserve">Share</t>
  </si>
  <si>
    <t xml:space="preserve">Total</t>
  </si>
  <si>
    <t xml:space="preserve">Check: owner total less Gantt total (0 = ok)</t>
  </si>
  <si>
    <t xml:space="preserve">By cost type, with the model reference</t>
  </si>
  <si>
    <t xml:space="preserve">Model reference (Medium)</t>
  </si>
  <si>
    <t xml:space="preserve">Check (0 = ok)</t>
  </si>
  <si>
    <t xml:space="preserve">Reference source</t>
  </si>
  <si>
    <t xml:space="preserve">One time launch costs, Month 1 (August model, evidence based)</t>
  </si>
  <si>
    <t xml:space="preserve">Inventory cash out Months 0 to 3, Cash Flow and Working Capital tab (lot FOB plus arrival charges)</t>
  </si>
  <si>
    <t xml:space="preserve">Fixed $850 plus seller fee $39.99 per month, Months 1 to 3</t>
  </si>
  <si>
    <t xml:space="preserve">Product liability premium per year, model input from Month 2</t>
  </si>
  <si>
    <t xml:space="preserve">Tasks with no cash cost in the plan window</t>
  </si>
  <si>
    <t xml:space="preserve">Total cash out, weeks 1 to 22</t>
  </si>
  <si>
    <t xml:space="preserve">Opening capital (Gantt tab)</t>
  </si>
  <si>
    <t xml:space="preserve">Plan cash out less opening capital (before Amazon proceeds)</t>
  </si>
  <si>
    <t xml:space="preserve">Amazon proceeds in Months 1 to 3 are not in this plan. The model's cash balance at the end of Month 3 is ($9,084) before funding and $106,499 after the $116K draw in Month 2.</t>
  </si>
  <si>
    <t xml:space="preserve">By basis</t>
  </si>
  <si>
    <t xml:space="preserve">By week: cost of every task spread evenly over its weeks (Cost per week column), SUMIFS on Start week and End week</t>
  </si>
  <si>
    <t xml:space="preserve">Cash out in the week</t>
  </si>
  <si>
    <t xml:space="preserve">Cumulative cash out</t>
  </si>
  <si>
    <t xml:space="preserve">Opening capital less cumulative cash out</t>
  </si>
  <si>
    <t xml:space="preserve">Check: week total less Gantt total (0 = ok)</t>
  </si>
  <si>
    <t xml:space="preserve">Month in the model</t>
  </si>
  <si>
    <t xml:space="preserve">Pre</t>
  </si>
  <si>
    <t xml:space="preserve">M1</t>
  </si>
  <si>
    <t xml:space="preserve">M2</t>
  </si>
  <si>
    <t xml:space="preserve">M3</t>
  </si>
  <si>
    <t xml:space="preserve">By owner and week (SUMIFS on Owner, Start week and End week)</t>
  </si>
  <si>
    <t xml:space="preserve">Check: owner and week total less Gantt total (0 = ok)</t>
  </si>
  <si>
    <t xml:space="preserve">Open tasks by owner (Status not Done)</t>
  </si>
  <si>
    <t xml:space="preserve">Gate: Day 90 criteria (end of Month 3, week 22) with the model values beside each threshold</t>
  </si>
  <si>
    <t xml:space="preserve">Result rule: KILL if any kill trigger fires; PASS if every modeled pass threshold is met; REVIEW otherwise. REVIEW means fix and retest within 30 days. KILL means: No further capital, sell down inventory, delist losers, move to Plan B.</t>
  </si>
  <si>
    <t xml:space="preserve">Model values are the Medium case from build/figures.json (Low and High shown for reference). Fill the yellow Actual cells at week 22; the Result column and the overall result are formulas.</t>
  </si>
  <si>
    <t xml:space="preserve">#</t>
  </si>
  <si>
    <t xml:space="preserve">Criterion</t>
  </si>
  <si>
    <t xml:space="preserve">Pass threshold</t>
  </si>
  <si>
    <t xml:space="preserve">Kill trigger</t>
  </si>
  <si>
    <t xml:space="preserve">Pass value</t>
  </si>
  <si>
    <t xml:space="preserve">Kill value</t>
  </si>
  <si>
    <t xml:space="preserve">Test direction</t>
  </si>
  <si>
    <t xml:space="preserve">Medium model (Month 3)</t>
  </si>
  <si>
    <t xml:space="preserve">Low model</t>
  </si>
  <si>
    <t xml:space="preserve">High model</t>
  </si>
  <si>
    <t xml:space="preserve">Medium model result</t>
  </si>
  <si>
    <t xml:space="preserve">Actual at Day 90</t>
  </si>
  <si>
    <t xml:space="preserve">Actual result</t>
  </si>
  <si>
    <t xml:space="preserve">Source and basis</t>
  </si>
  <si>
    <t xml:space="preserve">Unit session conversion: number of the 5 launch SKUs at or above 8%</t>
  </si>
  <si>
    <t xml:space="preserve">at or above 3 of 5 SKUs</t>
  </si>
  <si>
    <t xml:space="preserve">none (see the hero row)</t>
  </si>
  <si>
    <t xml:space="preserve">n/a</t>
  </si>
  <si>
    <t xml:space="preserve">at or above</t>
  </si>
  <si>
    <t xml:space="preserve">not modeled</t>
  </si>
  <si>
    <t xml:space="preserve">Observed in Seller Central (Business Reports). Evidence based threshold</t>
  </si>
  <si>
    <t xml:space="preserve">Hero SKU (8K 10M) unit session conversion</t>
  </si>
  <si>
    <t xml:space="preserve">at or above 8%</t>
  </si>
  <si>
    <t xml:space="preserve">below 5%</t>
  </si>
  <si>
    <t xml:space="preserve">Observed in Seller Central. Evidence based threshold</t>
  </si>
  <si>
    <t xml:space="preserve">TACOS in Month 3 (ad spend divided by total revenue)</t>
  </si>
  <si>
    <t xml:space="preserve">at or below 30%</t>
  </si>
  <si>
    <t xml:space="preserve">above 40%</t>
  </si>
  <si>
    <t xml:space="preserve">at or below</t>
  </si>
  <si>
    <t xml:space="preserve">Model: Monthly PL Y1 Y2, Month 3 ad spend phase rate. Evidence based (August model)</t>
  </si>
  <si>
    <t xml:space="preserve">TACOS falling month over month: Month 2 actual (enter here) must be above the Month 3 actual in the row above</t>
  </si>
  <si>
    <t xml:space="preserve">Month 3 below Month 2</t>
  </si>
  <si>
    <t xml:space="preserve">none</t>
  </si>
  <si>
    <t xml:space="preserve">falling</t>
  </si>
  <si>
    <t xml:space="preserve">flat (phase rate 30% in Months 1 to 3)</t>
  </si>
  <si>
    <t xml:space="preserve">flat</t>
  </si>
  <si>
    <t xml:space="preserve">Observed from the advertising reports. The model holds one phase rate for Months 1 to 3, so this test applies to actuals only</t>
  </si>
  <si>
    <t xml:space="preserve">Return rate in Month 3</t>
  </si>
  <si>
    <t xml:space="preserve">at or below 4%</t>
  </si>
  <si>
    <t xml:space="preserve">above 7%</t>
  </si>
  <si>
    <t xml:space="preserve">Model: returns % assumption. Evidence based (August model)</t>
  </si>
  <si>
    <t xml:space="preserve">Contribution per unit before advertising on at least 3 of 5 SKUs (hero basis in the model)</t>
  </si>
  <si>
    <t xml:space="preserve">at or above $11</t>
  </si>
  <si>
    <t xml:space="preserve">below $8 (hero)</t>
  </si>
  <si>
    <t xml:space="preserve">Model: ASP less landed COGS, referral, FBA, returns, storage (Monthly PL Y1 Y2). Enter the hero actual</t>
  </si>
  <si>
    <t xml:space="preserve">Cash runway after funding the next purchase order, months</t>
  </si>
  <si>
    <t xml:space="preserve">at or above 4 months</t>
  </si>
  <si>
    <t xml:space="preserve">below 2 months</t>
  </si>
  <si>
    <t xml:space="preserve">Model: cash after the funding draw divided by the Months 4 to 6 burn (Cash Flow and Working Capital). Before funding the Medium runway is 0.0 months</t>
  </si>
  <si>
    <t xml:space="preserve">Suppressed listing or intellectual property complaint: days the longest one has been open (0 = none)</t>
  </si>
  <si>
    <t xml:space="preserve">none open</t>
  </si>
  <si>
    <t xml:space="preserve">any open more than 14 days</t>
  </si>
  <si>
    <t xml:space="preserve">Observed in Account Health. Evidence based threshold</t>
  </si>
  <si>
    <t xml:space="preserve">Overall Day 90 result</t>
  </si>
  <si>
    <t xml:space="preserve">Column L counts the empty Actual cells. Low model result REVIEW, High PASS.</t>
  </si>
  <si>
    <t xml:space="preserve">Month 3 model context (Medium, from build/figures.json)</t>
  </si>
  <si>
    <t xml:space="preserve">Medium</t>
  </si>
  <si>
    <t xml:space="preserve">Low</t>
  </si>
  <si>
    <t xml:space="preserve">High</t>
  </si>
  <si>
    <t xml:space="preserve">Units sold in Month 3</t>
  </si>
  <si>
    <t xml:space="preserve">Revenue in Month 3</t>
  </si>
  <si>
    <t xml:space="preserve">Net in Month 3 (after fixed costs and the seller fee)</t>
  </si>
  <si>
    <t xml:space="preserve">Cumulative net, Months 1 to 3 (includes the $9,500 launch costs)</t>
  </si>
  <si>
    <t xml:space="preserve">Contribution per unit after advertising, Month 3</t>
  </si>
  <si>
    <t xml:space="preserve">Cash balance at end of Month 3 before funding</t>
  </si>
  <si>
    <t xml:space="preserve">Cash balance at end of Month 3 after funding</t>
  </si>
  <si>
    <t xml:space="preserve">Funding gap in the model (1.2 times the peak cash need)</t>
  </si>
  <si>
    <t xml:space="preserve">Funding needed by month</t>
  </si>
  <si>
    <t xml:space="preserve">Peak cash need and month</t>
  </si>
  <si>
    <t xml:space="preserve">$96K in Month 12</t>
  </si>
  <si>
    <t xml:space="preserve">$114K in Month 24</t>
  </si>
  <si>
    <t xml:space="preserve">$34K in Month 7</t>
  </si>
  <si>
    <t xml:space="preserve">18 month revenue and net (Amazon US)</t>
  </si>
  <si>
    <t xml:space="preserve">$1.17M and $153K</t>
  </si>
  <si>
    <t xml:space="preserve">$0.63M and ($20K)</t>
  </si>
  <si>
    <t xml:space="preserve">$1.85M and $447K</t>
  </si>
  <si>
    <t xml:space="preserve">Cumulative breakeven month</t>
  </si>
  <si>
    <t xml:space="preserve">Month 8</t>
  </si>
  <si>
    <t xml:space="preserve">Month 5</t>
  </si>
  <si>
    <t xml:space="preserve">Reference: Month 12 gate (outside this 90 day plan; the same PASS, REVIEW, KILL rule)</t>
  </si>
  <si>
    <t xml:space="preserve">Medium model (Month 12)</t>
  </si>
  <si>
    <t xml:space="preserve">Monthly revenue in Month 12</t>
  </si>
  <si>
    <t xml:space="preserve">at or above $70,000</t>
  </si>
  <si>
    <t xml:space="preserve">below $50,000</t>
  </si>
  <si>
    <t xml:space="preserve">Cumulative net at Month 12</t>
  </si>
  <si>
    <t xml:space="preserve">at or above $0</t>
  </si>
  <si>
    <t xml:space="preserve">below ($25,000)</t>
  </si>
  <si>
    <t xml:space="preserve">TACOS in Month 12</t>
  </si>
  <si>
    <t xml:space="preserve">at or below 15%</t>
  </si>
  <si>
    <t xml:space="preserve">above 25%</t>
  </si>
  <si>
    <t xml:space="preserve">Return rate in Month 12</t>
  </si>
  <si>
    <t xml:space="preserve">at or below 3%</t>
  </si>
  <si>
    <t xml:space="preserve">above 5%</t>
  </si>
  <si>
    <t xml:space="preserve">Operating cash flow, lower of Months 11 and 12</t>
  </si>
  <si>
    <t xml:space="preserve">positive in Months 11 and 12</t>
  </si>
  <si>
    <t xml:space="preserve">negative Months 10 to 12 with a funding gap above $50,000</t>
  </si>
  <si>
    <t xml:space="preserve">gap above $50,000</t>
  </si>
  <si>
    <t xml:space="preserve">Overall Month 12 result</t>
  </si>
  <si>
    <t xml:space="preserve">Low KILL, High PASS</t>
  </si>
  <si>
    <t xml:space="preserve">Glossary (the same list is on the Cover tab)</t>
  </si>
  <si>
    <r>
      <rPr>
        <sz val="10"/>
        <color rgb="FF595959"/>
        <rFont val="Arial"/>
        <family val="0"/>
        <charset val="1"/>
      </rPr>
      <t xml:space="preserve">IRS: Internal Revenue Service. KPI: key performance indicator. LLC: limited liability company. ODI: overseas direct investment report (</t>
    </r>
    <r>
      <rPr>
        <sz val="10"/>
        <color rgb="FF595959"/>
        <rFont val="WenQuanYi Zen Hei"/>
        <family val="2"/>
      </rPr>
      <t xml:space="preserve">해외직접투자 신고</t>
    </r>
    <r>
      <rPr>
        <sz val="10"/>
        <color rgb="FF595959"/>
        <rFont val="Arial"/>
        <family val="0"/>
        <charset val="1"/>
      </rPr>
      <t xml:space="preserve">). PO: purchase order.</t>
    </r>
  </si>
  <si>
    <r>
      <rPr>
        <sz val="10"/>
        <color rgb="FF595959"/>
        <rFont val="Arial"/>
        <family val="0"/>
        <charset val="1"/>
      </rPr>
      <t xml:space="preserve">SSN: Social Security Number. TACOS: total advertising cost of sales (ad spend divided by total sales). USPTO: United States Patent and Trademark Office. VA: virtual assistant. </t>
    </r>
    <r>
      <rPr>
        <sz val="10"/>
        <color rgb="FF595959"/>
        <rFont val="WenQuanYi Zen Hei"/>
        <family val="2"/>
      </rPr>
      <t xml:space="preserve">세무사</t>
    </r>
    <r>
      <rPr>
        <sz val="10"/>
        <color rgb="FF595959"/>
        <rFont val="Arial"/>
        <family val="0"/>
        <charset val="1"/>
      </rPr>
      <t xml:space="preserve">: Korean licensed tax accountant.</t>
    </r>
  </si>
</sst>
</file>

<file path=xl/styles.xml><?xml version="1.0" encoding="utf-8"?>
<styleSheet xmlns="http://schemas.openxmlformats.org/spreadsheetml/2006/main">
  <numFmts count="6">
    <numFmt numFmtId="164" formatCode="General"/>
    <numFmt numFmtId="165" formatCode="\$#,##0;&quot;($&quot;#,##0\);0"/>
    <numFmt numFmtId="166" formatCode="0"/>
    <numFmt numFmtId="167" formatCode="\$#,##0.00;&quot;($&quot;#,##0.00\);0"/>
    <numFmt numFmtId="168" formatCode="0.0%"/>
    <numFmt numFmtId="169" formatCode="0.0"/>
  </numFmts>
  <fonts count="16">
    <font>
      <sz val="11"/>
      <color theme="1"/>
      <name val="Arial"/>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sz val="10"/>
      <color rgb="FF000000"/>
      <name val="Arial"/>
      <family val="2"/>
    </font>
    <font>
      <sz val="10"/>
      <color rgb="FF008000"/>
      <name val="Arial"/>
      <family val="0"/>
      <charset val="1"/>
    </font>
    <font>
      <b val="true"/>
      <sz val="12"/>
      <color rgb="FF000000"/>
      <name val="Arial"/>
      <family val="0"/>
      <charset val="1"/>
    </font>
    <font>
      <sz val="10"/>
      <color rgb="FF0000FF"/>
      <name val="Arial"/>
      <family val="0"/>
      <charset val="1"/>
    </font>
    <font>
      <b val="true"/>
      <sz val="10"/>
      <color rgb="FF595959"/>
      <name val="Arial"/>
      <family val="0"/>
      <charset val="1"/>
    </font>
    <font>
      <b val="true"/>
      <sz val="10"/>
      <color rgb="FF9C5700"/>
      <name val="Arial"/>
      <family val="0"/>
      <charset val="1"/>
    </font>
    <font>
      <sz val="10"/>
      <color rgb="FF595959"/>
      <name val="Arial"/>
      <family val="0"/>
      <charset val="1"/>
    </font>
    <font>
      <sz val="10"/>
      <color rgb="FF595959"/>
      <name val="Arial"/>
      <family val="2"/>
    </font>
  </fonts>
  <fills count="15">
    <fill>
      <patternFill patternType="none"/>
    </fill>
    <fill>
      <patternFill patternType="gray125"/>
    </fill>
    <fill>
      <patternFill patternType="solid">
        <fgColor rgb="FF9BE7F5"/>
        <bgColor rgb="FFB7E4C7"/>
      </patternFill>
    </fill>
    <fill>
      <patternFill patternType="solid">
        <fgColor rgb="FFC9B8F7"/>
        <bgColor rgb="FFBFBFBF"/>
      </patternFill>
    </fill>
    <fill>
      <patternFill patternType="solid">
        <fgColor rgb="FFF7C6E8"/>
        <bgColor rgb="FFFFC7CE"/>
      </patternFill>
    </fill>
    <fill>
      <patternFill patternType="solid">
        <fgColor rgb="FFFFD28F"/>
        <bgColor rgb="FFFFE699"/>
      </patternFill>
    </fill>
    <fill>
      <patternFill patternType="solid">
        <fgColor rgb="FFB7E4C7"/>
        <bgColor rgb="FFC6EFCE"/>
      </patternFill>
    </fill>
    <fill>
      <patternFill patternType="solid">
        <fgColor rgb="FFCFE2F3"/>
        <bgColor rgb="FFD9E1F2"/>
      </patternFill>
    </fill>
    <fill>
      <patternFill patternType="solid">
        <fgColor rgb="FFE6E0B0"/>
        <bgColor rgb="FFFFE699"/>
      </patternFill>
    </fill>
    <fill>
      <patternFill patternType="solid">
        <fgColor rgb="FFC6EFCE"/>
        <bgColor rgb="FFB7E4C7"/>
      </patternFill>
    </fill>
    <fill>
      <patternFill patternType="solid">
        <fgColor rgb="FFFFE699"/>
        <bgColor rgb="FFFFEB9C"/>
      </patternFill>
    </fill>
    <fill>
      <patternFill patternType="solid">
        <fgColor rgb="FFFFFF00"/>
        <bgColor rgb="FFFFEB9C"/>
      </patternFill>
    </fill>
    <fill>
      <patternFill patternType="solid">
        <fgColor rgb="FFD9E1F2"/>
        <bgColor rgb="FFCFE2F3"/>
      </patternFill>
    </fill>
    <fill>
      <patternFill patternType="solid">
        <fgColor rgb="FFEDEDED"/>
        <bgColor rgb="FFE2EFDA"/>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false">
      <alignment horizontal="general" vertical="top" textRotation="0" wrapText="false" indent="0" shrinkToFit="false"/>
      <protection locked="true" hidden="false"/>
    </xf>
    <xf numFmtId="164" fontId="7" fillId="1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5" fontId="9"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6" fontId="11" fillId="11" borderId="1" xfId="0" applyFont="true" applyBorder="tru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6" fontId="6"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6" fillId="12" borderId="1" xfId="0" applyFont="true" applyBorder="true" applyAlignment="true" applyProtection="false">
      <alignment horizontal="center" vertical="top" textRotation="0" wrapText="true" indent="0" shrinkToFit="false"/>
      <protection locked="true" hidden="false"/>
    </xf>
    <xf numFmtId="166" fontId="6" fillId="12" borderId="1" xfId="0" applyFont="true" applyBorder="true" applyAlignment="true" applyProtection="false">
      <alignment horizontal="center" vertical="top" textRotation="0" wrapText="false" indent="0" shrinkToFit="false"/>
      <protection locked="true" hidden="false"/>
    </xf>
    <xf numFmtId="164" fontId="6" fillId="13" borderId="0" xfId="0" applyFont="true" applyBorder="false" applyAlignment="true" applyProtection="false">
      <alignment horizontal="general" vertical="top"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11" borderId="1" xfId="0" applyFont="true" applyBorder="true" applyAlignment="true" applyProtection="false">
      <alignment horizontal="general" vertical="top" textRotation="0" wrapText="false" indent="0" shrinkToFit="false"/>
      <protection locked="true" hidden="false"/>
    </xf>
    <xf numFmtId="166" fontId="11" fillId="11"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11" fillId="11"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top" textRotation="0" wrapText="false" indent="0" shrinkToFit="false"/>
      <protection locked="true" hidden="false"/>
    </xf>
    <xf numFmtId="166" fontId="14" fillId="0" borderId="1" xfId="0" applyFont="true" applyBorder="true" applyAlignment="true" applyProtection="false">
      <alignment horizontal="center" vertical="top" textRotation="0" wrapText="false" indent="0" shrinkToFit="false"/>
      <protection locked="true" hidden="false"/>
    </xf>
    <xf numFmtId="167" fontId="11" fillId="11" borderId="1" xfId="0" applyFont="true" applyBorder="true" applyAlignment="true" applyProtection="false">
      <alignment horizontal="general" vertical="top" textRotation="0" wrapText="fals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center"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6" fillId="14" borderId="1" xfId="0" applyFont="true" applyBorder="true" applyAlignment="true" applyProtection="false">
      <alignment horizontal="general" vertical="top" textRotation="0" wrapText="false" indent="0" shrinkToFit="false"/>
      <protection locked="true" hidden="false"/>
    </xf>
    <xf numFmtId="166" fontId="6" fillId="14" borderId="1" xfId="0" applyFont="true" applyBorder="true" applyAlignment="true" applyProtection="false">
      <alignment horizontal="general" vertical="top" textRotation="0" wrapText="false" indent="0" shrinkToFit="false"/>
      <protection locked="true" hidden="false"/>
    </xf>
    <xf numFmtId="165" fontId="6" fillId="14" borderId="1" xfId="0" applyFont="true" applyBorder="true" applyAlignment="true" applyProtection="false">
      <alignment horizontal="general" vertical="top" textRotation="0" wrapText="false" indent="0" shrinkToFit="false"/>
      <protection locked="true" hidden="false"/>
    </xf>
    <xf numFmtId="168" fontId="6" fillId="14"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fals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8" fontId="11" fillId="11" borderId="1" xfId="0" applyFont="true" applyBorder="true" applyAlignment="true" applyProtection="false">
      <alignment horizontal="center" vertical="top" textRotation="0" wrapText="fals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7" fontId="11" fillId="11" borderId="1" xfId="0" applyFont="true" applyBorder="true" applyAlignment="true" applyProtection="false">
      <alignment horizontal="center" vertical="top" textRotation="0" wrapText="fals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69" fontId="11" fillId="11" borderId="1" xfId="0" applyFont="true" applyBorder="true" applyAlignment="true" applyProtection="false">
      <alignment horizontal="center" vertical="top" textRotation="0" wrapText="false" indent="0" shrinkToFit="false"/>
      <protection locked="true" hidden="false"/>
    </xf>
    <xf numFmtId="164" fontId="6" fillId="14" borderId="1" xfId="0" applyFont="true" applyBorder="true" applyAlignment="true" applyProtection="false">
      <alignment horizontal="center" vertical="top" textRotation="0" wrapText="false" indent="0" shrinkToFit="false"/>
      <protection locked="true" hidden="false"/>
    </xf>
    <xf numFmtId="166" fontId="7" fillId="14" borderId="1" xfId="0" applyFont="true" applyBorder="true" applyAlignment="true" applyProtection="false">
      <alignment horizontal="center" vertical="top" textRotation="0" wrapText="fals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7" fontId="9"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D9E1F2"/>
          <bgColor rgb="FF000000"/>
        </patternFill>
      </fill>
    </dxf>
    <dxf>
      <fill>
        <patternFill patternType="solid">
          <fgColor rgb="FFEDEDED"/>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FFE699"/>
          <bgColor rgb="FF000000"/>
        </patternFill>
      </fill>
    </dxf>
    <dxf>
      <fill>
        <patternFill>
          <bgColor rgb="FFC6EFCE"/>
        </patternFill>
      </fill>
    </dxf>
    <dxf>
      <fill>
        <patternFill>
          <bgColor rgb="FF9BE7F5"/>
        </patternFill>
      </fill>
    </dxf>
    <dxf>
      <fill>
        <patternFill>
          <bgColor rgb="FFC9B8F7"/>
        </patternFill>
      </fill>
    </dxf>
    <dxf>
      <fill>
        <patternFill>
          <bgColor rgb="FFF7C6E8"/>
        </patternFill>
      </fill>
    </dxf>
    <dxf>
      <fill>
        <patternFill>
          <bgColor rgb="FFFFD28F"/>
        </patternFill>
      </fill>
    </dxf>
    <dxf>
      <fill>
        <patternFill>
          <bgColor rgb="FFB7E4C7"/>
        </patternFill>
      </fill>
    </dxf>
    <dxf>
      <fill>
        <patternFill>
          <bgColor rgb="FFCFE2F3"/>
        </patternFill>
      </fill>
    </dxf>
    <dxf>
      <fill>
        <patternFill>
          <bgColor rgb="FFE6E0B0"/>
        </patternFill>
      </fill>
    </dxf>
    <dxf>
      <fill>
        <patternFill>
          <bgColor rgb="FFBFBFBF"/>
        </patternFill>
      </fill>
    </dxf>
    <dxf>
      <fill>
        <patternFill>
          <bgColor rgb="FFFFF2CC"/>
        </patternFill>
      </fill>
    </dxf>
    <dxf>
      <font>
        <name val="Arial"/>
        <charset val="1"/>
        <family val="0"/>
        <color rgb="FF9C0006"/>
        <sz val="10"/>
      </font>
    </dxf>
    <dxf>
      <font>
        <name val="Arial"/>
        <charset val="1"/>
        <family val="0"/>
        <color rgb="FF006100"/>
        <sz val="10"/>
      </font>
    </dxf>
    <dxf>
      <fill>
        <patternFill>
          <bgColor rgb="FFFFC7CE"/>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s>
  <colors>
    <indexedColors>
      <rgbColor rgb="FF000000"/>
      <rgbColor rgb="FFEDEDED"/>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B7E4C7"/>
      <rgbColor rgb="FF993366"/>
      <rgbColor rgb="FFFFF2CC"/>
      <rgbColor rgb="FFE2EFDA"/>
      <rgbColor rgb="FF660066"/>
      <rgbColor rgb="FFFF8080"/>
      <rgbColor rgb="FF0066CC"/>
      <rgbColor rgb="FFC9B8F7"/>
      <rgbColor rgb="FF000080"/>
      <rgbColor rgb="FFFF00FF"/>
      <rgbColor rgb="FFFFE699"/>
      <rgbColor rgb="FF00FFFF"/>
      <rgbColor rgb="FF800080"/>
      <rgbColor rgb="FF800000"/>
      <rgbColor rgb="FF008080"/>
      <rgbColor rgb="FF0000FF"/>
      <rgbColor rgb="FF00CCFF"/>
      <rgbColor rgb="FFCFE2F3"/>
      <rgbColor rgb="FFC6EFCE"/>
      <rgbColor rgb="FFFFEB9C"/>
      <rgbColor rgb="FF9BE7F5"/>
      <rgbColor rgb="FFFFC7CE"/>
      <rgbColor rgb="FFF7C6E8"/>
      <rgbColor rgb="FFFFD28F"/>
      <rgbColor rgb="FF3366FF"/>
      <rgbColor rgb="FF33CCCC"/>
      <rgbColor rgb="FF99CC00"/>
      <rgbColor rgb="FFE6E0B0"/>
      <rgbColor rgb="FFFF9900"/>
      <rgbColor rgb="FFFF6600"/>
      <rgbColor rgb="FF595959"/>
      <rgbColor rgb="FFD9E1F2"/>
      <rgbColor rgb="FF003366"/>
      <rgbColor rgb="FF339966"/>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66.75" hidden="false" customHeight="true" outlineLevel="0" collapsed="false">
      <c r="A4" s="3" t="s">
        <v>2</v>
      </c>
      <c r="B4" s="4" t="s">
        <v>3</v>
      </c>
    </row>
    <row r="5" customFormat="false" ht="66.75" hidden="false" customHeight="true" outlineLevel="0" collapsed="false">
      <c r="A5" s="3" t="s">
        <v>4</v>
      </c>
      <c r="B5" s="4" t="s">
        <v>5</v>
      </c>
    </row>
    <row r="6" customFormat="false" ht="66.75" hidden="false" customHeight="true" outlineLevel="0" collapsed="false">
      <c r="A6" s="3" t="s">
        <v>6</v>
      </c>
      <c r="B6" s="4" t="s">
        <v>7</v>
      </c>
    </row>
    <row r="7" customFormat="false" ht="66.75" hidden="false" customHeight="true" outlineLevel="0" collapsed="false">
      <c r="A7" s="3" t="s">
        <v>8</v>
      </c>
      <c r="B7" s="4" t="s">
        <v>9</v>
      </c>
    </row>
    <row r="8" customFormat="false" ht="54" hidden="false" customHeight="true" outlineLevel="0" collapsed="false">
      <c r="A8" s="3" t="s">
        <v>10</v>
      </c>
      <c r="B8" s="4" t="s">
        <v>11</v>
      </c>
    </row>
    <row r="9" customFormat="false" ht="54" hidden="false" customHeight="true" outlineLevel="0" collapsed="false">
      <c r="A9" s="3" t="s">
        <v>12</v>
      </c>
      <c r="B9" s="4" t="s">
        <v>13</v>
      </c>
    </row>
    <row r="10" customFormat="false" ht="40.5" hidden="false" customHeight="true" outlineLevel="0" collapsed="false">
      <c r="A10" s="3" t="s">
        <v>14</v>
      </c>
      <c r="B10" s="4" t="s">
        <v>15</v>
      </c>
    </row>
    <row r="11" customFormat="false" ht="40.5" hidden="false" customHeight="true" outlineLevel="0" collapsed="false">
      <c r="A11" s="3" t="s">
        <v>16</v>
      </c>
      <c r="B11" s="4" t="s">
        <v>17</v>
      </c>
    </row>
    <row r="12" customFormat="false" ht="27.75" hidden="false" customHeight="true" outlineLevel="0" collapsed="false">
      <c r="A12" s="3" t="s">
        <v>18</v>
      </c>
      <c r="B12" s="4" t="s">
        <v>19</v>
      </c>
    </row>
    <row r="14" customFormat="false" ht="15" hidden="false" customHeight="false" outlineLevel="0" collapsed="false">
      <c r="A14" s="5" t="s">
        <v>20</v>
      </c>
    </row>
    <row r="15" customFormat="false" ht="15" hidden="false" customHeight="false" outlineLevel="0" collapsed="false">
      <c r="A15" s="6" t="s">
        <v>21</v>
      </c>
    </row>
    <row r="16" customFormat="false" ht="15" hidden="false" customHeight="false" outlineLevel="0" collapsed="false">
      <c r="A16" s="7" t="s">
        <v>22</v>
      </c>
    </row>
    <row r="17" customFormat="false" ht="15" hidden="false" customHeight="false" outlineLevel="0" collapsed="false">
      <c r="A17" s="8" t="s">
        <v>23</v>
      </c>
    </row>
    <row r="18" customFormat="false" ht="15" hidden="false" customHeight="false" outlineLevel="0" collapsed="false">
      <c r="A18" s="9" t="s">
        <v>24</v>
      </c>
    </row>
    <row r="19" customFormat="false" ht="15" hidden="false" customHeight="false" outlineLevel="0" collapsed="false">
      <c r="A19" s="10" t="s">
        <v>25</v>
      </c>
    </row>
    <row r="20" customFormat="false" ht="15" hidden="false" customHeight="false" outlineLevel="0" collapsed="false">
      <c r="A20" s="11" t="s">
        <v>26</v>
      </c>
    </row>
    <row r="21" customFormat="false" ht="15" hidden="false" customHeight="false" outlineLevel="0" collapsed="false">
      <c r="A21" s="12" t="s">
        <v>27</v>
      </c>
    </row>
    <row r="22" customFormat="false" ht="15" hidden="false" customHeight="false" outlineLevel="0" collapsed="false">
      <c r="A22" s="13" t="s">
        <v>28</v>
      </c>
    </row>
    <row r="23" customFormat="false" ht="15" hidden="false" customHeight="false" outlineLevel="0" collapsed="false">
      <c r="A23" s="14" t="s">
        <v>29</v>
      </c>
    </row>
    <row r="25" customFormat="false" ht="15" hidden="false" customHeight="false" outlineLevel="0" collapsed="false">
      <c r="A25" s="5" t="s">
        <v>30</v>
      </c>
    </row>
    <row r="26" customFormat="false" ht="15" hidden="false" customHeight="false" outlineLevel="0" collapsed="false">
      <c r="A26" s="15" t="s">
        <v>31</v>
      </c>
      <c r="B26" s="16" t="s">
        <v>32</v>
      </c>
    </row>
    <row r="27" customFormat="false" ht="15" hidden="false" customHeight="false" outlineLevel="0" collapsed="false">
      <c r="A27" s="15" t="s">
        <v>33</v>
      </c>
      <c r="B27" s="17" t="n">
        <f aca="false">PlanCashOut</f>
        <v>58305.33</v>
      </c>
    </row>
    <row r="28" customFormat="false" ht="15" hidden="false" customHeight="false" outlineLevel="0" collapsed="false">
      <c r="A28" s="15" t="s">
        <v>34</v>
      </c>
      <c r="B28" s="16" t="s">
        <v>35</v>
      </c>
    </row>
    <row r="29" customFormat="false" ht="15" hidden="false" customHeight="false" outlineLevel="0" collapsed="false">
      <c r="A29" s="15" t="s">
        <v>36</v>
      </c>
      <c r="B29" s="16" t="s">
        <v>37</v>
      </c>
    </row>
    <row r="30" customFormat="false" ht="15" hidden="false" customHeight="false" outlineLevel="0" collapsed="false">
      <c r="A30" s="15" t="s">
        <v>38</v>
      </c>
      <c r="B30" s="16" t="s">
        <v>39</v>
      </c>
    </row>
    <row r="32" customFormat="false" ht="15" hidden="false" customHeight="false" outlineLevel="0" collapsed="false">
      <c r="A32" s="5" t="s">
        <v>40</v>
      </c>
    </row>
    <row r="33" customFormat="false" ht="40.5" hidden="false" customHeight="true" outlineLevel="0" collapsed="false">
      <c r="A33" s="4" t="s">
        <v>41</v>
      </c>
      <c r="B33" s="4" t="s">
        <v>42</v>
      </c>
    </row>
    <row r="34" customFormat="false" ht="27.75" hidden="false" customHeight="true" outlineLevel="0" collapsed="false">
      <c r="A34" s="4" t="s">
        <v>43</v>
      </c>
      <c r="B34" s="4" t="s">
        <v>44</v>
      </c>
    </row>
    <row r="35" customFormat="false" ht="40.5" hidden="false" customHeight="true" outlineLevel="0" collapsed="false">
      <c r="A35" s="4" t="s">
        <v>45</v>
      </c>
      <c r="B35" s="4" t="s">
        <v>46</v>
      </c>
    </row>
    <row r="36" customFormat="false" ht="40.5" hidden="false" customHeight="true" outlineLevel="0" collapsed="false">
      <c r="A36" s="4" t="s">
        <v>47</v>
      </c>
      <c r="B36" s="4" t="s">
        <v>48</v>
      </c>
    </row>
    <row r="37" customFormat="false" ht="27.75" hidden="false" customHeight="true" outlineLevel="0" collapsed="false">
      <c r="A37" s="4" t="s">
        <v>49</v>
      </c>
      <c r="B37" s="4" t="s">
        <v>50</v>
      </c>
    </row>
    <row r="38" customFormat="false" ht="27.75" hidden="false" customHeight="true" outlineLevel="0" collapsed="false">
      <c r="A38" s="4" t="s">
        <v>51</v>
      </c>
      <c r="B38" s="4" t="s">
        <v>52</v>
      </c>
    </row>
    <row r="39" customFormat="false" ht="40.5" hidden="false" customHeight="true" outlineLevel="0" collapsed="false">
      <c r="A39" s="4" t="s">
        <v>53</v>
      </c>
      <c r="B39" s="4" t="s">
        <v>54</v>
      </c>
    </row>
  </sheetData>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9"/>
    <col collapsed="false" customWidth="true" hidden="false" outlineLevel="0" max="4" min="4" style="0" width="16"/>
    <col collapsed="false" customWidth="true" hidden="false" outlineLevel="0" max="6" min="5" style="0" width="7"/>
    <col collapsed="false" customWidth="true" hidden="false" outlineLevel="0" max="8" min="7" style="0" width="10"/>
    <col collapsed="false" customWidth="true" hidden="false" outlineLevel="0" max="9" min="9" style="0" width="13"/>
    <col collapsed="false" customWidth="true" hidden="false" outlineLevel="0" max="10" min="10" style="0" width="52"/>
    <col collapsed="false" customWidth="true" hidden="false" outlineLevel="0" max="11" min="11" style="0" width="12"/>
    <col collapsed="false" customWidth="true" hidden="false" outlineLevel="0" max="12" min="12" style="0" width="11"/>
    <col collapsed="false" customWidth="true" hidden="false" outlineLevel="0" max="13" min="13" style="0" width="6"/>
    <col collapsed="false" customWidth="true" hidden="false" outlineLevel="0" max="14" min="14" style="0" width="9"/>
    <col collapsed="false" customWidth="true" hidden="false" outlineLevel="0" max="15" min="15" style="0" width="12"/>
    <col collapsed="false" customWidth="true" hidden="false" outlineLevel="0" max="37" min="16" style="0" width="3.4"/>
    <col collapsed="false" customWidth="true" hidden="false" outlineLevel="0" max="38" min="38" style="0" width="2"/>
    <col collapsed="false" customWidth="true" hidden="false" outlineLevel="0" max="46" min="39" style="0" width="6"/>
  </cols>
  <sheetData>
    <row r="1" customFormat="false" ht="15" hidden="false" customHeight="false" outlineLevel="0" collapsed="false">
      <c r="A1" s="18" t="s">
        <v>55</v>
      </c>
    </row>
    <row r="2" customFormat="false" ht="15" hidden="false" customHeight="false" outlineLevel="0" collapsed="false">
      <c r="A2" s="2" t="s">
        <v>56</v>
      </c>
    </row>
    <row r="3" customFormat="false" ht="35.05" hidden="false" customHeight="false" outlineLevel="0" collapsed="false">
      <c r="A3" s="5" t="s">
        <v>57</v>
      </c>
      <c r="C3" s="19" t="n">
        <v>1</v>
      </c>
      <c r="D3" s="5" t="s">
        <v>31</v>
      </c>
      <c r="E3" s="20" t="n">
        <v>39000</v>
      </c>
      <c r="G3" s="5" t="s">
        <v>58</v>
      </c>
      <c r="H3" s="21" t="n">
        <f aca="false">SUM(H6:H55)</f>
        <v>58305.33</v>
      </c>
      <c r="I3" s="5" t="s">
        <v>59</v>
      </c>
      <c r="J3" s="22" t="n">
        <f aca="false">COUNTA(A6:A55)-5</f>
        <v>45</v>
      </c>
      <c r="K3" s="3" t="s">
        <v>60</v>
      </c>
      <c r="M3" s="23" t="n">
        <f aca="false">SUM(O6:O55)</f>
        <v>0</v>
      </c>
      <c r="N3" s="5" t="s">
        <v>28</v>
      </c>
      <c r="O3" s="23" t="n">
        <f aca="false">COUNTIF(L6:L55,"Done")</f>
        <v>0</v>
      </c>
    </row>
    <row r="4" customFormat="false" ht="15" hidden="false" customHeight="false" outlineLevel="0" collapsed="false">
      <c r="P4" s="5" t="s">
        <v>61</v>
      </c>
      <c r="Y4" s="24" t="s">
        <v>62</v>
      </c>
      <c r="AC4" s="24" t="s">
        <v>63</v>
      </c>
      <c r="AG4" s="24" t="s">
        <v>64</v>
      </c>
      <c r="AK4" s="25" t="s">
        <v>65</v>
      </c>
      <c r="AM4" s="26" t="s">
        <v>66</v>
      </c>
    </row>
    <row r="5" customFormat="false" ht="30" hidden="false" customHeight="true" outlineLevel="0" collapsed="false">
      <c r="A5" s="27" t="s">
        <v>67</v>
      </c>
      <c r="B5" s="27" t="s">
        <v>68</v>
      </c>
      <c r="C5" s="27" t="s">
        <v>69</v>
      </c>
      <c r="D5" s="27" t="s">
        <v>70</v>
      </c>
      <c r="E5" s="27" t="s">
        <v>71</v>
      </c>
      <c r="F5" s="27" t="s">
        <v>72</v>
      </c>
      <c r="G5" s="27" t="s">
        <v>73</v>
      </c>
      <c r="H5" s="27" t="s">
        <v>74</v>
      </c>
      <c r="I5" s="27" t="s">
        <v>75</v>
      </c>
      <c r="J5" s="27" t="s">
        <v>76</v>
      </c>
      <c r="K5" s="27" t="s">
        <v>16</v>
      </c>
      <c r="L5" s="27" t="s">
        <v>77</v>
      </c>
      <c r="M5" s="27" t="s">
        <v>78</v>
      </c>
      <c r="N5" s="27" t="s">
        <v>79</v>
      </c>
      <c r="O5" s="27" t="s">
        <v>6</v>
      </c>
      <c r="P5" s="28" t="n">
        <v>1</v>
      </c>
      <c r="Q5" s="28" t="n">
        <v>2</v>
      </c>
      <c r="R5" s="28" t="n">
        <v>3</v>
      </c>
      <c r="S5" s="28" t="n">
        <v>4</v>
      </c>
      <c r="T5" s="28" t="n">
        <v>5</v>
      </c>
      <c r="U5" s="28" t="n">
        <v>6</v>
      </c>
      <c r="V5" s="28" t="n">
        <v>7</v>
      </c>
      <c r="W5" s="28" t="n">
        <v>8</v>
      </c>
      <c r="X5" s="28" t="n">
        <v>9</v>
      </c>
      <c r="Y5" s="28" t="n">
        <v>10</v>
      </c>
      <c r="Z5" s="28" t="n">
        <v>11</v>
      </c>
      <c r="AA5" s="28" t="n">
        <v>12</v>
      </c>
      <c r="AB5" s="28" t="n">
        <v>13</v>
      </c>
      <c r="AC5" s="28" t="n">
        <v>14</v>
      </c>
      <c r="AD5" s="28" t="n">
        <v>15</v>
      </c>
      <c r="AE5" s="28" t="n">
        <v>16</v>
      </c>
      <c r="AF5" s="28" t="n">
        <v>17</v>
      </c>
      <c r="AG5" s="28" t="n">
        <v>18</v>
      </c>
      <c r="AH5" s="28" t="n">
        <v>19</v>
      </c>
      <c r="AI5" s="28" t="n">
        <v>20</v>
      </c>
      <c r="AJ5" s="28" t="n">
        <v>21</v>
      </c>
      <c r="AK5" s="28" t="n">
        <v>22</v>
      </c>
      <c r="AM5" s="27" t="s">
        <v>80</v>
      </c>
      <c r="AN5" s="27" t="s">
        <v>81</v>
      </c>
      <c r="AO5" s="27" t="s">
        <v>82</v>
      </c>
      <c r="AP5" s="27" t="s">
        <v>83</v>
      </c>
      <c r="AQ5" s="27" t="s">
        <v>84</v>
      </c>
      <c r="AR5" s="27" t="s">
        <v>85</v>
      </c>
      <c r="AS5" s="27" t="s">
        <v>86</v>
      </c>
      <c r="AT5" s="27" t="s">
        <v>87</v>
      </c>
    </row>
    <row r="6" customFormat="false" ht="15" hidden="false" customHeight="false" outlineLevel="0" collapsed="false">
      <c r="A6" s="29" t="s">
        <v>88</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row>
    <row r="7" customFormat="false" ht="40.5" hidden="false" customHeight="true" outlineLevel="0" collapsed="false">
      <c r="A7" s="31" t="s">
        <v>89</v>
      </c>
      <c r="B7" s="32" t="s">
        <v>90</v>
      </c>
      <c r="C7" s="33" t="s">
        <v>21</v>
      </c>
      <c r="D7" s="32" t="s">
        <v>22</v>
      </c>
      <c r="E7" s="34" t="n">
        <v>1</v>
      </c>
      <c r="F7" s="34" t="n">
        <v>1</v>
      </c>
      <c r="G7" s="35"/>
      <c r="H7" s="36" t="n">
        <v>0</v>
      </c>
      <c r="I7" s="37" t="s">
        <v>91</v>
      </c>
      <c r="J7" s="32" t="s">
        <v>92</v>
      </c>
      <c r="K7" s="37" t="s">
        <v>93</v>
      </c>
      <c r="L7" s="33" t="s">
        <v>94</v>
      </c>
      <c r="M7" s="38" t="n">
        <f aca="false">F7-E7+1</f>
        <v>1</v>
      </c>
      <c r="N7" s="39" t="n">
        <f aca="false">IF(M7&lt;=0,0,H7/M7)</f>
        <v>0</v>
      </c>
      <c r="O7" s="38" t="n">
        <f aca="false">SUM(AQ7:AT7)+IF(LEN($G7)-LEN(SUBSTITUTE($G7,",",""))&gt;=4,1,0)</f>
        <v>0</v>
      </c>
      <c r="P7" s="40"/>
      <c r="Q7" s="40"/>
      <c r="R7" s="40"/>
      <c r="S7" s="40"/>
      <c r="T7" s="40"/>
      <c r="U7" s="40"/>
      <c r="V7" s="40"/>
      <c r="W7" s="40"/>
      <c r="X7" s="40"/>
      <c r="Y7" s="40"/>
      <c r="Z7" s="40"/>
      <c r="AA7" s="40"/>
      <c r="AB7" s="40"/>
      <c r="AC7" s="40"/>
      <c r="AD7" s="40"/>
      <c r="AE7" s="40"/>
      <c r="AF7" s="40"/>
      <c r="AG7" s="40"/>
      <c r="AH7" s="40"/>
      <c r="AI7" s="40"/>
      <c r="AJ7" s="40"/>
      <c r="AK7" s="40"/>
      <c r="AM7" s="41" t="str">
        <f aca="false">TRIM(MID(SUBSTITUTE($G7&amp;",",",",REPT(" ",99)),1,99))</f>
        <v/>
      </c>
      <c r="AN7" s="41" t="str">
        <f aca="false">TRIM(MID(SUBSTITUTE($G7&amp;",",",",REPT(" ",99)),100,99))</f>
        <v/>
      </c>
      <c r="AO7" s="41" t="str">
        <f aca="false">TRIM(MID(SUBSTITUTE($G7&amp;",",",",REPT(" ",99)),199,99))</f>
        <v/>
      </c>
      <c r="AP7" s="41" t="str">
        <f aca="false">TRIM(MID(SUBSTITUTE($G7&amp;",",",",REPT(" ",99)),298,99))</f>
        <v/>
      </c>
      <c r="AQ7" s="42" t="n">
        <f aca="false">IF(AM7="",0,IFERROR(IF(OR(INDEX($E$6:$E$55,MATCH(AM7,$A$6:$A$55,0))&gt;$E7,INDEX($F$6:$F$55,MATCH(AM7,$A$6:$A$55,0))&gt;$F7),1,0),1))</f>
        <v>0</v>
      </c>
      <c r="AR7" s="42" t="n">
        <f aca="false">IF(AN7="",0,IFERROR(IF(OR(INDEX($E$6:$E$55,MATCH(AN7,$A$6:$A$55,0))&gt;$E7,INDEX($F$6:$F$55,MATCH(AN7,$A$6:$A$55,0))&gt;$F7),1,0),1))</f>
        <v>0</v>
      </c>
      <c r="AS7" s="42" t="n">
        <f aca="false">IF(AO7="",0,IFERROR(IF(OR(INDEX($E$6:$E$55,MATCH(AO7,$A$6:$A$55,0))&gt;$E7,INDEX($F$6:$F$55,MATCH(AO7,$A$6:$A$55,0))&gt;$F7),1,0),1))</f>
        <v>0</v>
      </c>
      <c r="AT7" s="42" t="n">
        <f aca="false">IF(AP7="",0,IFERROR(IF(OR(INDEX($E$6:$E$55,MATCH(AP7,$A$6:$A$55,0))&gt;$E7,INDEX($F$6:$F$55,MATCH(AP7,$A$6:$A$55,0))&gt;$F7),1,0),1))</f>
        <v>0</v>
      </c>
    </row>
    <row r="8" customFormat="false" ht="54" hidden="false" customHeight="true" outlineLevel="0" collapsed="false">
      <c r="A8" s="31" t="s">
        <v>95</v>
      </c>
      <c r="B8" s="32" t="s">
        <v>96</v>
      </c>
      <c r="C8" s="33" t="s">
        <v>23</v>
      </c>
      <c r="D8" s="32" t="s">
        <v>21</v>
      </c>
      <c r="E8" s="34" t="n">
        <v>1</v>
      </c>
      <c r="F8" s="34" t="n">
        <v>2</v>
      </c>
      <c r="G8" s="35" t="s">
        <v>89</v>
      </c>
      <c r="H8" s="36" t="n">
        <v>1200</v>
      </c>
      <c r="I8" s="37" t="s">
        <v>97</v>
      </c>
      <c r="J8" s="32" t="s">
        <v>98</v>
      </c>
      <c r="K8" s="37" t="s">
        <v>99</v>
      </c>
      <c r="L8" s="33" t="s">
        <v>94</v>
      </c>
      <c r="M8" s="38" t="n">
        <f aca="false">F8-E8+1</f>
        <v>2</v>
      </c>
      <c r="N8" s="39" t="n">
        <f aca="false">IF(M8&lt;=0,0,H8/M8)</f>
        <v>600</v>
      </c>
      <c r="O8" s="38" t="n">
        <f aca="false">SUM(AQ8:AT8)+IF(LEN($G8)-LEN(SUBSTITUTE($G8,",",""))&gt;=4,1,0)</f>
        <v>0</v>
      </c>
      <c r="P8" s="40"/>
      <c r="Q8" s="40"/>
      <c r="R8" s="40"/>
      <c r="S8" s="40"/>
      <c r="T8" s="40"/>
      <c r="U8" s="40"/>
      <c r="V8" s="40"/>
      <c r="W8" s="40"/>
      <c r="X8" s="40"/>
      <c r="Y8" s="40"/>
      <c r="Z8" s="40"/>
      <c r="AA8" s="40"/>
      <c r="AB8" s="40"/>
      <c r="AC8" s="40"/>
      <c r="AD8" s="40"/>
      <c r="AE8" s="40"/>
      <c r="AF8" s="40"/>
      <c r="AG8" s="40"/>
      <c r="AH8" s="40"/>
      <c r="AI8" s="40"/>
      <c r="AJ8" s="40"/>
      <c r="AK8" s="40"/>
      <c r="AM8" s="41" t="str">
        <f aca="false">TRIM(MID(SUBSTITUTE($G8&amp;",",",",REPT(" ",99)),1,99))</f>
        <v>A1</v>
      </c>
      <c r="AN8" s="41" t="str">
        <f aca="false">TRIM(MID(SUBSTITUTE($G8&amp;",",",",REPT(" ",99)),100,99))</f>
        <v/>
      </c>
      <c r="AO8" s="41" t="str">
        <f aca="false">TRIM(MID(SUBSTITUTE($G8&amp;",",",",REPT(" ",99)),199,99))</f>
        <v/>
      </c>
      <c r="AP8" s="41" t="str">
        <f aca="false">TRIM(MID(SUBSTITUTE($G8&amp;",",",",REPT(" ",99)),298,99))</f>
        <v/>
      </c>
      <c r="AQ8" s="42" t="n">
        <f aca="false">IF(AM8="",0,IFERROR(IF(OR(INDEX($E$6:$E$55,MATCH(AM8,$A$6:$A$55,0))&gt;$E8,INDEX($F$6:$F$55,MATCH(AM8,$A$6:$A$55,0))&gt;$F8),1,0),1))</f>
        <v>0</v>
      </c>
      <c r="AR8" s="42" t="n">
        <f aca="false">IF(AN8="",0,IFERROR(IF(OR(INDEX($E$6:$E$55,MATCH(AN8,$A$6:$A$55,0))&gt;$E8,INDEX($F$6:$F$55,MATCH(AN8,$A$6:$A$55,0))&gt;$F8),1,0),1))</f>
        <v>0</v>
      </c>
      <c r="AS8" s="42" t="n">
        <f aca="false">IF(AO8="",0,IFERROR(IF(OR(INDEX($E$6:$E$55,MATCH(AO8,$A$6:$A$55,0))&gt;$E8,INDEX($F$6:$F$55,MATCH(AO8,$A$6:$A$55,0))&gt;$F8),1,0),1))</f>
        <v>0</v>
      </c>
      <c r="AT8" s="42" t="n">
        <f aca="false">IF(AP8="",0,IFERROR(IF(OR(INDEX($E$6:$E$55,MATCH(AP8,$A$6:$A$55,0))&gt;$E8,INDEX($F$6:$F$55,MATCH(AP8,$A$6:$A$55,0))&gt;$F8),1,0),1))</f>
        <v>0</v>
      </c>
    </row>
    <row r="9" customFormat="false" ht="40.5" hidden="false" customHeight="true" outlineLevel="0" collapsed="false">
      <c r="A9" s="31" t="s">
        <v>100</v>
      </c>
      <c r="B9" s="32" t="s">
        <v>101</v>
      </c>
      <c r="C9" s="33" t="s">
        <v>23</v>
      </c>
      <c r="D9" s="32" t="s">
        <v>21</v>
      </c>
      <c r="E9" s="34" t="n">
        <v>1</v>
      </c>
      <c r="F9" s="34" t="n">
        <v>2</v>
      </c>
      <c r="G9" s="35" t="s">
        <v>89</v>
      </c>
      <c r="H9" s="36" t="n">
        <v>700</v>
      </c>
      <c r="I9" s="37" t="s">
        <v>97</v>
      </c>
      <c r="J9" s="32" t="s">
        <v>102</v>
      </c>
      <c r="K9" s="37" t="s">
        <v>99</v>
      </c>
      <c r="L9" s="33" t="s">
        <v>94</v>
      </c>
      <c r="M9" s="38" t="n">
        <f aca="false">F9-E9+1</f>
        <v>2</v>
      </c>
      <c r="N9" s="39" t="n">
        <f aca="false">IF(M9&lt;=0,0,H9/M9)</f>
        <v>350</v>
      </c>
      <c r="O9" s="38" t="n">
        <f aca="false">SUM(AQ9:AT9)+IF(LEN($G9)-LEN(SUBSTITUTE($G9,",",""))&gt;=4,1,0)</f>
        <v>0</v>
      </c>
      <c r="P9" s="40"/>
      <c r="Q9" s="40"/>
      <c r="R9" s="40"/>
      <c r="S9" s="40"/>
      <c r="T9" s="40"/>
      <c r="U9" s="40"/>
      <c r="V9" s="40"/>
      <c r="W9" s="40"/>
      <c r="X9" s="40"/>
      <c r="Y9" s="40"/>
      <c r="Z9" s="40"/>
      <c r="AA9" s="40"/>
      <c r="AB9" s="40"/>
      <c r="AC9" s="40"/>
      <c r="AD9" s="40"/>
      <c r="AE9" s="40"/>
      <c r="AF9" s="40"/>
      <c r="AG9" s="40"/>
      <c r="AH9" s="40"/>
      <c r="AI9" s="40"/>
      <c r="AJ9" s="40"/>
      <c r="AK9" s="40"/>
      <c r="AM9" s="41" t="str">
        <f aca="false">TRIM(MID(SUBSTITUTE($G9&amp;",",",",REPT(" ",99)),1,99))</f>
        <v>A1</v>
      </c>
      <c r="AN9" s="41" t="str">
        <f aca="false">TRIM(MID(SUBSTITUTE($G9&amp;",",",",REPT(" ",99)),100,99))</f>
        <v/>
      </c>
      <c r="AO9" s="41" t="str">
        <f aca="false">TRIM(MID(SUBSTITUTE($G9&amp;",",",",REPT(" ",99)),199,99))</f>
        <v/>
      </c>
      <c r="AP9" s="41" t="str">
        <f aca="false">TRIM(MID(SUBSTITUTE($G9&amp;",",",",REPT(" ",99)),298,99))</f>
        <v/>
      </c>
      <c r="AQ9" s="42" t="n">
        <f aca="false">IF(AM9="",0,IFERROR(IF(OR(INDEX($E$6:$E$55,MATCH(AM9,$A$6:$A$55,0))&gt;$E9,INDEX($F$6:$F$55,MATCH(AM9,$A$6:$A$55,0))&gt;$F9),1,0),1))</f>
        <v>0</v>
      </c>
      <c r="AR9" s="42" t="n">
        <f aca="false">IF(AN9="",0,IFERROR(IF(OR(INDEX($E$6:$E$55,MATCH(AN9,$A$6:$A$55,0))&gt;$E9,INDEX($F$6:$F$55,MATCH(AN9,$A$6:$A$55,0))&gt;$F9),1,0),1))</f>
        <v>0</v>
      </c>
      <c r="AS9" s="42" t="n">
        <f aca="false">IF(AO9="",0,IFERROR(IF(OR(INDEX($E$6:$E$55,MATCH(AO9,$A$6:$A$55,0))&gt;$E9,INDEX($F$6:$F$55,MATCH(AO9,$A$6:$A$55,0))&gt;$F9),1,0),1))</f>
        <v>0</v>
      </c>
      <c r="AT9" s="42" t="n">
        <f aca="false">IF(AP9="",0,IFERROR(IF(OR(INDEX($E$6:$E$55,MATCH(AP9,$A$6:$A$55,0))&gt;$E9,INDEX($F$6:$F$55,MATCH(AP9,$A$6:$A$55,0))&gt;$F9),1,0),1))</f>
        <v>0</v>
      </c>
    </row>
    <row r="10" customFormat="false" ht="54" hidden="false" customHeight="true" outlineLevel="0" collapsed="false">
      <c r="A10" s="31" t="s">
        <v>103</v>
      </c>
      <c r="B10" s="32" t="s">
        <v>104</v>
      </c>
      <c r="C10" s="33" t="s">
        <v>23</v>
      </c>
      <c r="D10" s="32" t="s">
        <v>21</v>
      </c>
      <c r="E10" s="34" t="n">
        <v>2</v>
      </c>
      <c r="F10" s="34" t="n">
        <v>2</v>
      </c>
      <c r="G10" s="35" t="s">
        <v>100</v>
      </c>
      <c r="H10" s="36" t="n">
        <v>0</v>
      </c>
      <c r="I10" s="37" t="s">
        <v>91</v>
      </c>
      <c r="J10" s="32" t="s">
        <v>105</v>
      </c>
      <c r="K10" s="37" t="s">
        <v>93</v>
      </c>
      <c r="L10" s="33" t="s">
        <v>94</v>
      </c>
      <c r="M10" s="38" t="n">
        <f aca="false">F10-E10+1</f>
        <v>1</v>
      </c>
      <c r="N10" s="39" t="n">
        <f aca="false">IF(M10&lt;=0,0,H10/M10)</f>
        <v>0</v>
      </c>
      <c r="O10" s="38" t="n">
        <f aca="false">SUM(AQ10:AT10)+IF(LEN($G10)-LEN(SUBSTITUTE($G10,",",""))&gt;=4,1,0)</f>
        <v>0</v>
      </c>
      <c r="P10" s="40"/>
      <c r="Q10" s="40"/>
      <c r="R10" s="40"/>
      <c r="S10" s="40"/>
      <c r="T10" s="40"/>
      <c r="U10" s="40"/>
      <c r="V10" s="40"/>
      <c r="W10" s="40"/>
      <c r="X10" s="40"/>
      <c r="Y10" s="40"/>
      <c r="Z10" s="40"/>
      <c r="AA10" s="40"/>
      <c r="AB10" s="40"/>
      <c r="AC10" s="40"/>
      <c r="AD10" s="40"/>
      <c r="AE10" s="40"/>
      <c r="AF10" s="40"/>
      <c r="AG10" s="40"/>
      <c r="AH10" s="40"/>
      <c r="AI10" s="40"/>
      <c r="AJ10" s="40"/>
      <c r="AK10" s="40"/>
      <c r="AM10" s="41" t="str">
        <f aca="false">TRIM(MID(SUBSTITUTE($G10&amp;",",",",REPT(" ",99)),1,99))</f>
        <v>A3</v>
      </c>
      <c r="AN10" s="41" t="str">
        <f aca="false">TRIM(MID(SUBSTITUTE($G10&amp;",",",",REPT(" ",99)),100,99))</f>
        <v/>
      </c>
      <c r="AO10" s="41" t="str">
        <f aca="false">TRIM(MID(SUBSTITUTE($G10&amp;",",",",REPT(" ",99)),199,99))</f>
        <v/>
      </c>
      <c r="AP10" s="41" t="str">
        <f aca="false">TRIM(MID(SUBSTITUTE($G10&amp;",",",",REPT(" ",99)),298,99))</f>
        <v/>
      </c>
      <c r="AQ10" s="42" t="n">
        <f aca="false">IF(AM10="",0,IFERROR(IF(OR(INDEX($E$6:$E$55,MATCH(AM10,$A$6:$A$55,0))&gt;$E10,INDEX($F$6:$F$55,MATCH(AM10,$A$6:$A$55,0))&gt;$F10),1,0),1))</f>
        <v>0</v>
      </c>
      <c r="AR10" s="42" t="n">
        <f aca="false">IF(AN10="",0,IFERROR(IF(OR(INDEX($E$6:$E$55,MATCH(AN10,$A$6:$A$55,0))&gt;$E10,INDEX($F$6:$F$55,MATCH(AN10,$A$6:$A$55,0))&gt;$F10),1,0),1))</f>
        <v>0</v>
      </c>
      <c r="AS10" s="42" t="n">
        <f aca="false">IF(AO10="",0,IFERROR(IF(OR(INDEX($E$6:$E$55,MATCH(AO10,$A$6:$A$55,0))&gt;$E10,INDEX($F$6:$F$55,MATCH(AO10,$A$6:$A$55,0))&gt;$F10),1,0),1))</f>
        <v>0</v>
      </c>
      <c r="AT10" s="42" t="n">
        <f aca="false">IF(AP10="",0,IFERROR(IF(OR(INDEX($E$6:$E$55,MATCH(AP10,$A$6:$A$55,0))&gt;$E10,INDEX($F$6:$F$55,MATCH(AP10,$A$6:$A$55,0))&gt;$F10),1,0),1))</f>
        <v>0</v>
      </c>
    </row>
    <row r="11" customFormat="false" ht="40.5" hidden="false" customHeight="true" outlineLevel="0" collapsed="false">
      <c r="A11" s="31" t="s">
        <v>106</v>
      </c>
      <c r="B11" s="32" t="s">
        <v>107</v>
      </c>
      <c r="C11" s="33" t="s">
        <v>23</v>
      </c>
      <c r="D11" s="32" t="s">
        <v>108</v>
      </c>
      <c r="E11" s="34" t="n">
        <v>2</v>
      </c>
      <c r="F11" s="34" t="n">
        <v>3</v>
      </c>
      <c r="G11" s="35" t="s">
        <v>100</v>
      </c>
      <c r="H11" s="36" t="n">
        <v>500</v>
      </c>
      <c r="I11" s="37" t="s">
        <v>97</v>
      </c>
      <c r="J11" s="32" t="s">
        <v>109</v>
      </c>
      <c r="K11" s="37" t="s">
        <v>99</v>
      </c>
      <c r="L11" s="33" t="s">
        <v>94</v>
      </c>
      <c r="M11" s="38" t="n">
        <f aca="false">F11-E11+1</f>
        <v>2</v>
      </c>
      <c r="N11" s="39" t="n">
        <f aca="false">IF(M11&lt;=0,0,H11/M11)</f>
        <v>250</v>
      </c>
      <c r="O11" s="38" t="n">
        <f aca="false">SUM(AQ11:AT11)+IF(LEN($G11)-LEN(SUBSTITUTE($G11,",",""))&gt;=4,1,0)</f>
        <v>0</v>
      </c>
      <c r="P11" s="40"/>
      <c r="Q11" s="40"/>
      <c r="R11" s="40"/>
      <c r="S11" s="40"/>
      <c r="T11" s="40"/>
      <c r="U11" s="40"/>
      <c r="V11" s="40"/>
      <c r="W11" s="40"/>
      <c r="X11" s="40"/>
      <c r="Y11" s="40"/>
      <c r="Z11" s="40"/>
      <c r="AA11" s="40"/>
      <c r="AB11" s="40"/>
      <c r="AC11" s="40"/>
      <c r="AD11" s="40"/>
      <c r="AE11" s="40"/>
      <c r="AF11" s="40"/>
      <c r="AG11" s="40"/>
      <c r="AH11" s="40"/>
      <c r="AI11" s="40"/>
      <c r="AJ11" s="40"/>
      <c r="AK11" s="40"/>
      <c r="AM11" s="41" t="str">
        <f aca="false">TRIM(MID(SUBSTITUTE($G11&amp;",",",",REPT(" ",99)),1,99))</f>
        <v>A3</v>
      </c>
      <c r="AN11" s="41" t="str">
        <f aca="false">TRIM(MID(SUBSTITUTE($G11&amp;",",",",REPT(" ",99)),100,99))</f>
        <v/>
      </c>
      <c r="AO11" s="41" t="str">
        <f aca="false">TRIM(MID(SUBSTITUTE($G11&amp;",",",",REPT(" ",99)),199,99))</f>
        <v/>
      </c>
      <c r="AP11" s="41" t="str">
        <f aca="false">TRIM(MID(SUBSTITUTE($G11&amp;",",",",REPT(" ",99)),298,99))</f>
        <v/>
      </c>
      <c r="AQ11" s="42" t="n">
        <f aca="false">IF(AM11="",0,IFERROR(IF(OR(INDEX($E$6:$E$55,MATCH(AM11,$A$6:$A$55,0))&gt;$E11,INDEX($F$6:$F$55,MATCH(AM11,$A$6:$A$55,0))&gt;$F11),1,0),1))</f>
        <v>0</v>
      </c>
      <c r="AR11" s="42" t="n">
        <f aca="false">IF(AN11="",0,IFERROR(IF(OR(INDEX($E$6:$E$55,MATCH(AN11,$A$6:$A$55,0))&gt;$E11,INDEX($F$6:$F$55,MATCH(AN11,$A$6:$A$55,0))&gt;$F11),1,0),1))</f>
        <v>0</v>
      </c>
      <c r="AS11" s="42" t="n">
        <f aca="false">IF(AO11="",0,IFERROR(IF(OR(INDEX($E$6:$E$55,MATCH(AO11,$A$6:$A$55,0))&gt;$E11,INDEX($F$6:$F$55,MATCH(AO11,$A$6:$A$55,0))&gt;$F11),1,0),1))</f>
        <v>0</v>
      </c>
      <c r="AT11" s="42" t="n">
        <f aca="false">IF(AP11="",0,IFERROR(IF(OR(INDEX($E$6:$E$55,MATCH(AP11,$A$6:$A$55,0))&gt;$E11,INDEX($F$6:$F$55,MATCH(AP11,$A$6:$A$55,0))&gt;$F11),1,0),1))</f>
        <v>0</v>
      </c>
    </row>
    <row r="12" customFormat="false" ht="40.5" hidden="false" customHeight="true" outlineLevel="0" collapsed="false">
      <c r="A12" s="31" t="s">
        <v>110</v>
      </c>
      <c r="B12" s="32" t="s">
        <v>111</v>
      </c>
      <c r="C12" s="33" t="s">
        <v>21</v>
      </c>
      <c r="D12" s="32" t="s">
        <v>22</v>
      </c>
      <c r="E12" s="34" t="n">
        <v>2</v>
      </c>
      <c r="F12" s="34" t="n">
        <v>3</v>
      </c>
      <c r="G12" s="35" t="s">
        <v>103</v>
      </c>
      <c r="H12" s="36" t="n">
        <v>250</v>
      </c>
      <c r="I12" s="37" t="s">
        <v>97</v>
      </c>
      <c r="J12" s="32" t="s">
        <v>112</v>
      </c>
      <c r="K12" s="37" t="s">
        <v>99</v>
      </c>
      <c r="L12" s="33" t="s">
        <v>94</v>
      </c>
      <c r="M12" s="38" t="n">
        <f aca="false">F12-E12+1</f>
        <v>2</v>
      </c>
      <c r="N12" s="39" t="n">
        <f aca="false">IF(M12&lt;=0,0,H12/M12)</f>
        <v>125</v>
      </c>
      <c r="O12" s="38" t="n">
        <f aca="false">SUM(AQ12:AT12)+IF(LEN($G12)-LEN(SUBSTITUTE($G12,",",""))&gt;=4,1,0)</f>
        <v>0</v>
      </c>
      <c r="P12" s="40"/>
      <c r="Q12" s="40"/>
      <c r="R12" s="40"/>
      <c r="S12" s="40"/>
      <c r="T12" s="40"/>
      <c r="U12" s="40"/>
      <c r="V12" s="40"/>
      <c r="W12" s="40"/>
      <c r="X12" s="40"/>
      <c r="Y12" s="40"/>
      <c r="Z12" s="40"/>
      <c r="AA12" s="40"/>
      <c r="AB12" s="40"/>
      <c r="AC12" s="40"/>
      <c r="AD12" s="40"/>
      <c r="AE12" s="40"/>
      <c r="AF12" s="40"/>
      <c r="AG12" s="40"/>
      <c r="AH12" s="40"/>
      <c r="AI12" s="40"/>
      <c r="AJ12" s="40"/>
      <c r="AK12" s="40"/>
      <c r="AM12" s="41" t="str">
        <f aca="false">TRIM(MID(SUBSTITUTE($G12&amp;",",",",REPT(" ",99)),1,99))</f>
        <v>A4</v>
      </c>
      <c r="AN12" s="41" t="str">
        <f aca="false">TRIM(MID(SUBSTITUTE($G12&amp;",",",",REPT(" ",99)),100,99))</f>
        <v/>
      </c>
      <c r="AO12" s="41" t="str">
        <f aca="false">TRIM(MID(SUBSTITUTE($G12&amp;",",",",REPT(" ",99)),199,99))</f>
        <v/>
      </c>
      <c r="AP12" s="41" t="str">
        <f aca="false">TRIM(MID(SUBSTITUTE($G12&amp;",",",",REPT(" ",99)),298,99))</f>
        <v/>
      </c>
      <c r="AQ12" s="42" t="n">
        <f aca="false">IF(AM12="",0,IFERROR(IF(OR(INDEX($E$6:$E$55,MATCH(AM12,$A$6:$A$55,0))&gt;$E12,INDEX($F$6:$F$55,MATCH(AM12,$A$6:$A$55,0))&gt;$F12),1,0),1))</f>
        <v>0</v>
      </c>
      <c r="AR12" s="42" t="n">
        <f aca="false">IF(AN12="",0,IFERROR(IF(OR(INDEX($E$6:$E$55,MATCH(AN12,$A$6:$A$55,0))&gt;$E12,INDEX($F$6:$F$55,MATCH(AN12,$A$6:$A$55,0))&gt;$F12),1,0),1))</f>
        <v>0</v>
      </c>
      <c r="AS12" s="42" t="n">
        <f aca="false">IF(AO12="",0,IFERROR(IF(OR(INDEX($E$6:$E$55,MATCH(AO12,$A$6:$A$55,0))&gt;$E12,INDEX($F$6:$F$55,MATCH(AO12,$A$6:$A$55,0))&gt;$F12),1,0),1))</f>
        <v>0</v>
      </c>
      <c r="AT12" s="42" t="n">
        <f aca="false">IF(AP12="",0,IFERROR(IF(OR(INDEX($E$6:$E$55,MATCH(AP12,$A$6:$A$55,0))&gt;$E12,INDEX($F$6:$F$55,MATCH(AP12,$A$6:$A$55,0))&gt;$F12),1,0),1))</f>
        <v>0</v>
      </c>
    </row>
    <row r="13" customFormat="false" ht="40.5" hidden="false" customHeight="true" outlineLevel="0" collapsed="false">
      <c r="A13" s="31" t="s">
        <v>113</v>
      </c>
      <c r="B13" s="32" t="s">
        <v>114</v>
      </c>
      <c r="C13" s="33" t="s">
        <v>21</v>
      </c>
      <c r="D13" s="32" t="s">
        <v>115</v>
      </c>
      <c r="E13" s="34" t="n">
        <v>1</v>
      </c>
      <c r="F13" s="34" t="n">
        <v>2</v>
      </c>
      <c r="G13" s="35" t="s">
        <v>100</v>
      </c>
      <c r="H13" s="36" t="n">
        <v>300</v>
      </c>
      <c r="I13" s="37" t="s">
        <v>97</v>
      </c>
      <c r="J13" s="32" t="s">
        <v>116</v>
      </c>
      <c r="K13" s="37" t="s">
        <v>99</v>
      </c>
      <c r="L13" s="33" t="s">
        <v>94</v>
      </c>
      <c r="M13" s="38" t="n">
        <f aca="false">F13-E13+1</f>
        <v>2</v>
      </c>
      <c r="N13" s="39" t="n">
        <f aca="false">IF(M13&lt;=0,0,H13/M13)</f>
        <v>150</v>
      </c>
      <c r="O13" s="38" t="n">
        <f aca="false">SUM(AQ13:AT13)+IF(LEN($G13)-LEN(SUBSTITUTE($G13,",",""))&gt;=4,1,0)</f>
        <v>0</v>
      </c>
      <c r="P13" s="40"/>
      <c r="Q13" s="40"/>
      <c r="R13" s="40"/>
      <c r="S13" s="40"/>
      <c r="T13" s="40"/>
      <c r="U13" s="40"/>
      <c r="V13" s="40"/>
      <c r="W13" s="40"/>
      <c r="X13" s="40"/>
      <c r="Y13" s="40"/>
      <c r="Z13" s="40"/>
      <c r="AA13" s="40"/>
      <c r="AB13" s="40"/>
      <c r="AC13" s="40"/>
      <c r="AD13" s="40"/>
      <c r="AE13" s="40"/>
      <c r="AF13" s="40"/>
      <c r="AG13" s="40"/>
      <c r="AH13" s="40"/>
      <c r="AI13" s="40"/>
      <c r="AJ13" s="40"/>
      <c r="AK13" s="40"/>
      <c r="AM13" s="41" t="str">
        <f aca="false">TRIM(MID(SUBSTITUTE($G13&amp;",",",",REPT(" ",99)),1,99))</f>
        <v>A3</v>
      </c>
      <c r="AN13" s="41" t="str">
        <f aca="false">TRIM(MID(SUBSTITUTE($G13&amp;",",",",REPT(" ",99)),100,99))</f>
        <v/>
      </c>
      <c r="AO13" s="41" t="str">
        <f aca="false">TRIM(MID(SUBSTITUTE($G13&amp;",",",",REPT(" ",99)),199,99))</f>
        <v/>
      </c>
      <c r="AP13" s="41" t="str">
        <f aca="false">TRIM(MID(SUBSTITUTE($G13&amp;",",",",REPT(" ",99)),298,99))</f>
        <v/>
      </c>
      <c r="AQ13" s="42" t="n">
        <f aca="false">IF(AM13="",0,IFERROR(IF(OR(INDEX($E$6:$E$55,MATCH(AM13,$A$6:$A$55,0))&gt;$E13,INDEX($F$6:$F$55,MATCH(AM13,$A$6:$A$55,0))&gt;$F13),1,0),1))</f>
        <v>0</v>
      </c>
      <c r="AR13" s="42" t="n">
        <f aca="false">IF(AN13="",0,IFERROR(IF(OR(INDEX($E$6:$E$55,MATCH(AN13,$A$6:$A$55,0))&gt;$E13,INDEX($F$6:$F$55,MATCH(AN13,$A$6:$A$55,0))&gt;$F13),1,0),1))</f>
        <v>0</v>
      </c>
      <c r="AS13" s="42" t="n">
        <f aca="false">IF(AO13="",0,IFERROR(IF(OR(INDEX($E$6:$E$55,MATCH(AO13,$A$6:$A$55,0))&gt;$E13,INDEX($F$6:$F$55,MATCH(AO13,$A$6:$A$55,0))&gt;$F13),1,0),1))</f>
        <v>0</v>
      </c>
      <c r="AT13" s="42" t="n">
        <f aca="false">IF(AP13="",0,IFERROR(IF(OR(INDEX($E$6:$E$55,MATCH(AP13,$A$6:$A$55,0))&gt;$E13,INDEX($F$6:$F$55,MATCH(AP13,$A$6:$A$55,0))&gt;$F13),1,0),1))</f>
        <v>0</v>
      </c>
    </row>
    <row r="14" customFormat="false" ht="27.75" hidden="false" customHeight="true" outlineLevel="0" collapsed="false">
      <c r="A14" s="31" t="s">
        <v>117</v>
      </c>
      <c r="B14" s="32" t="s">
        <v>118</v>
      </c>
      <c r="C14" s="33" t="s">
        <v>21</v>
      </c>
      <c r="D14" s="32" t="s">
        <v>22</v>
      </c>
      <c r="E14" s="34" t="n">
        <v>2</v>
      </c>
      <c r="F14" s="34" t="n">
        <v>3</v>
      </c>
      <c r="G14" s="35" t="s">
        <v>119</v>
      </c>
      <c r="H14" s="36" t="n">
        <v>0</v>
      </c>
      <c r="I14" s="37" t="s">
        <v>91</v>
      </c>
      <c r="J14" s="32" t="s">
        <v>120</v>
      </c>
      <c r="K14" s="37" t="s">
        <v>93</v>
      </c>
      <c r="L14" s="33" t="s">
        <v>94</v>
      </c>
      <c r="M14" s="38" t="n">
        <f aca="false">F14-E14+1</f>
        <v>2</v>
      </c>
      <c r="N14" s="39" t="n">
        <f aca="false">IF(M14&lt;=0,0,H14/M14)</f>
        <v>0</v>
      </c>
      <c r="O14" s="38" t="n">
        <f aca="false">SUM(AQ14:AT14)+IF(LEN($G14)-LEN(SUBSTITUTE($G14,",",""))&gt;=4,1,0)</f>
        <v>0</v>
      </c>
      <c r="P14" s="40"/>
      <c r="Q14" s="40"/>
      <c r="R14" s="40"/>
      <c r="S14" s="40"/>
      <c r="T14" s="40"/>
      <c r="U14" s="40"/>
      <c r="V14" s="40"/>
      <c r="W14" s="40"/>
      <c r="X14" s="40"/>
      <c r="Y14" s="40"/>
      <c r="Z14" s="40"/>
      <c r="AA14" s="40"/>
      <c r="AB14" s="40"/>
      <c r="AC14" s="40"/>
      <c r="AD14" s="40"/>
      <c r="AE14" s="40"/>
      <c r="AF14" s="40"/>
      <c r="AG14" s="40"/>
      <c r="AH14" s="40"/>
      <c r="AI14" s="40"/>
      <c r="AJ14" s="40"/>
      <c r="AK14" s="40"/>
      <c r="AM14" s="41" t="str">
        <f aca="false">TRIM(MID(SUBSTITUTE($G14&amp;",",",",REPT(" ",99)),1,99))</f>
        <v>A4</v>
      </c>
      <c r="AN14" s="41" t="str">
        <f aca="false">TRIM(MID(SUBSTITUTE($G14&amp;",",",",REPT(" ",99)),100,99))</f>
        <v>A6</v>
      </c>
      <c r="AO14" s="41" t="str">
        <f aca="false">TRIM(MID(SUBSTITUTE($G14&amp;",",",",REPT(" ",99)),199,99))</f>
        <v/>
      </c>
      <c r="AP14" s="41" t="str">
        <f aca="false">TRIM(MID(SUBSTITUTE($G14&amp;",",",",REPT(" ",99)),298,99))</f>
        <v/>
      </c>
      <c r="AQ14" s="42" t="n">
        <f aca="false">IF(AM14="",0,IFERROR(IF(OR(INDEX($E$6:$E$55,MATCH(AM14,$A$6:$A$55,0))&gt;$E14,INDEX($F$6:$F$55,MATCH(AM14,$A$6:$A$55,0))&gt;$F14),1,0),1))</f>
        <v>0</v>
      </c>
      <c r="AR14" s="42" t="n">
        <f aca="false">IF(AN14="",0,IFERROR(IF(OR(INDEX($E$6:$E$55,MATCH(AN14,$A$6:$A$55,0))&gt;$E14,INDEX($F$6:$F$55,MATCH(AN14,$A$6:$A$55,0))&gt;$F14),1,0),1))</f>
        <v>0</v>
      </c>
      <c r="AS14" s="42" t="n">
        <f aca="false">IF(AO14="",0,IFERROR(IF(OR(INDEX($E$6:$E$55,MATCH(AO14,$A$6:$A$55,0))&gt;$E14,INDEX($F$6:$F$55,MATCH(AO14,$A$6:$A$55,0))&gt;$F14),1,0),1))</f>
        <v>0</v>
      </c>
      <c r="AT14" s="42" t="n">
        <f aca="false">IF(AP14="",0,IFERROR(IF(OR(INDEX($E$6:$E$55,MATCH(AP14,$A$6:$A$55,0))&gt;$E14,INDEX($F$6:$F$55,MATCH(AP14,$A$6:$A$55,0))&gt;$F14),1,0),1))</f>
        <v>0</v>
      </c>
    </row>
    <row r="15" customFormat="false" ht="40.5" hidden="false" customHeight="true" outlineLevel="0" collapsed="false">
      <c r="A15" s="31" t="s">
        <v>121</v>
      </c>
      <c r="B15" s="32" t="s">
        <v>122</v>
      </c>
      <c r="C15" s="33" t="s">
        <v>21</v>
      </c>
      <c r="D15" s="32" t="s">
        <v>115</v>
      </c>
      <c r="E15" s="34" t="n">
        <v>3</v>
      </c>
      <c r="F15" s="34" t="n">
        <v>3</v>
      </c>
      <c r="G15" s="35" t="s">
        <v>123</v>
      </c>
      <c r="H15" s="36" t="n">
        <v>0</v>
      </c>
      <c r="I15" s="37" t="s">
        <v>91</v>
      </c>
      <c r="J15" s="32" t="s">
        <v>124</v>
      </c>
      <c r="K15" s="37" t="s">
        <v>93</v>
      </c>
      <c r="L15" s="33" t="s">
        <v>94</v>
      </c>
      <c r="M15" s="38" t="n">
        <f aca="false">F15-E15+1</f>
        <v>1</v>
      </c>
      <c r="N15" s="39" t="n">
        <f aca="false">IF(M15&lt;=0,0,H15/M15)</f>
        <v>0</v>
      </c>
      <c r="O15" s="38" t="n">
        <f aca="false">SUM(AQ15:AT15)+IF(LEN($G15)-LEN(SUBSTITUTE($G15,",",""))&gt;=4,1,0)</f>
        <v>0</v>
      </c>
      <c r="P15" s="40"/>
      <c r="Q15" s="40"/>
      <c r="R15" s="40"/>
      <c r="S15" s="40"/>
      <c r="T15" s="40"/>
      <c r="U15" s="40"/>
      <c r="V15" s="40"/>
      <c r="W15" s="40"/>
      <c r="X15" s="40"/>
      <c r="Y15" s="40"/>
      <c r="Z15" s="40"/>
      <c r="AA15" s="40"/>
      <c r="AB15" s="40"/>
      <c r="AC15" s="40"/>
      <c r="AD15" s="40"/>
      <c r="AE15" s="40"/>
      <c r="AF15" s="40"/>
      <c r="AG15" s="40"/>
      <c r="AH15" s="40"/>
      <c r="AI15" s="40"/>
      <c r="AJ15" s="40"/>
      <c r="AK15" s="40"/>
      <c r="AM15" s="41" t="str">
        <f aca="false">TRIM(MID(SUBSTITUTE($G15&amp;",",",",REPT(" ",99)),1,99))</f>
        <v>A7</v>
      </c>
      <c r="AN15" s="41" t="str">
        <f aca="false">TRIM(MID(SUBSTITUTE($G15&amp;",",",",REPT(" ",99)),100,99))</f>
        <v>A8</v>
      </c>
      <c r="AO15" s="41" t="str">
        <f aca="false">TRIM(MID(SUBSTITUTE($G15&amp;",",",",REPT(" ",99)),199,99))</f>
        <v/>
      </c>
      <c r="AP15" s="41" t="str">
        <f aca="false">TRIM(MID(SUBSTITUTE($G15&amp;",",",",REPT(" ",99)),298,99))</f>
        <v/>
      </c>
      <c r="AQ15" s="42" t="n">
        <f aca="false">IF(AM15="",0,IFERROR(IF(OR(INDEX($E$6:$E$55,MATCH(AM15,$A$6:$A$55,0))&gt;$E15,INDEX($F$6:$F$55,MATCH(AM15,$A$6:$A$55,0))&gt;$F15),1,0),1))</f>
        <v>0</v>
      </c>
      <c r="AR15" s="42" t="n">
        <f aca="false">IF(AN15="",0,IFERROR(IF(OR(INDEX($E$6:$E$55,MATCH(AN15,$A$6:$A$55,0))&gt;$E15,INDEX($F$6:$F$55,MATCH(AN15,$A$6:$A$55,0))&gt;$F15),1,0),1))</f>
        <v>0</v>
      </c>
      <c r="AS15" s="42" t="n">
        <f aca="false">IF(AO15="",0,IFERROR(IF(OR(INDEX($E$6:$E$55,MATCH(AO15,$A$6:$A$55,0))&gt;$E15,INDEX($F$6:$F$55,MATCH(AO15,$A$6:$A$55,0))&gt;$F15),1,0),1))</f>
        <v>0</v>
      </c>
      <c r="AT15" s="42" t="n">
        <f aca="false">IF(AP15="",0,IFERROR(IF(OR(INDEX($E$6:$E$55,MATCH(AP15,$A$6:$A$55,0))&gt;$E15,INDEX($F$6:$F$55,MATCH(AP15,$A$6:$A$55,0))&gt;$F15),1,0),1))</f>
        <v>0</v>
      </c>
    </row>
    <row r="16" customFormat="false" ht="40.5" hidden="false" customHeight="true" outlineLevel="0" collapsed="false">
      <c r="A16" s="31" t="s">
        <v>125</v>
      </c>
      <c r="B16" s="32" t="s">
        <v>126</v>
      </c>
      <c r="C16" s="33" t="s">
        <v>21</v>
      </c>
      <c r="D16" s="32" t="s">
        <v>22</v>
      </c>
      <c r="E16" s="34" t="n">
        <v>3</v>
      </c>
      <c r="F16" s="34" t="n">
        <v>4</v>
      </c>
      <c r="G16" s="35" t="s">
        <v>103</v>
      </c>
      <c r="H16" s="36" t="n">
        <v>0</v>
      </c>
      <c r="I16" s="37" t="s">
        <v>91</v>
      </c>
      <c r="J16" s="32" t="s">
        <v>127</v>
      </c>
      <c r="K16" s="37" t="s">
        <v>99</v>
      </c>
      <c r="L16" s="33" t="s">
        <v>94</v>
      </c>
      <c r="M16" s="38" t="n">
        <f aca="false">F16-E16+1</f>
        <v>2</v>
      </c>
      <c r="N16" s="39" t="n">
        <f aca="false">IF(M16&lt;=0,0,H16/M16)</f>
        <v>0</v>
      </c>
      <c r="O16" s="38" t="n">
        <f aca="false">SUM(AQ16:AT16)+IF(LEN($G16)-LEN(SUBSTITUTE($G16,",",""))&gt;=4,1,0)</f>
        <v>0</v>
      </c>
      <c r="P16" s="40"/>
      <c r="Q16" s="40"/>
      <c r="R16" s="40"/>
      <c r="S16" s="40"/>
      <c r="T16" s="40"/>
      <c r="U16" s="40"/>
      <c r="V16" s="40"/>
      <c r="W16" s="40"/>
      <c r="X16" s="40"/>
      <c r="Y16" s="40"/>
      <c r="Z16" s="40"/>
      <c r="AA16" s="40"/>
      <c r="AB16" s="40"/>
      <c r="AC16" s="40"/>
      <c r="AD16" s="40"/>
      <c r="AE16" s="40"/>
      <c r="AF16" s="40"/>
      <c r="AG16" s="40"/>
      <c r="AH16" s="40"/>
      <c r="AI16" s="40"/>
      <c r="AJ16" s="40"/>
      <c r="AK16" s="40"/>
      <c r="AM16" s="41" t="str">
        <f aca="false">TRIM(MID(SUBSTITUTE($G16&amp;",",",",REPT(" ",99)),1,99))</f>
        <v>A4</v>
      </c>
      <c r="AN16" s="41" t="str">
        <f aca="false">TRIM(MID(SUBSTITUTE($G16&amp;",",",",REPT(" ",99)),100,99))</f>
        <v/>
      </c>
      <c r="AO16" s="41" t="str">
        <f aca="false">TRIM(MID(SUBSTITUTE($G16&amp;",",",",REPT(" ",99)),199,99))</f>
        <v/>
      </c>
      <c r="AP16" s="41" t="str">
        <f aca="false">TRIM(MID(SUBSTITUTE($G16&amp;",",",",REPT(" ",99)),298,99))</f>
        <v/>
      </c>
      <c r="AQ16" s="42" t="n">
        <f aca="false">IF(AM16="",0,IFERROR(IF(OR(INDEX($E$6:$E$55,MATCH(AM16,$A$6:$A$55,0))&gt;$E16,INDEX($F$6:$F$55,MATCH(AM16,$A$6:$A$55,0))&gt;$F16),1,0),1))</f>
        <v>0</v>
      </c>
      <c r="AR16" s="42" t="n">
        <f aca="false">IF(AN16="",0,IFERROR(IF(OR(INDEX($E$6:$E$55,MATCH(AN16,$A$6:$A$55,0))&gt;$E16,INDEX($F$6:$F$55,MATCH(AN16,$A$6:$A$55,0))&gt;$F16),1,0),1))</f>
        <v>0</v>
      </c>
      <c r="AS16" s="42" t="n">
        <f aca="false">IF(AO16="",0,IFERROR(IF(OR(INDEX($E$6:$E$55,MATCH(AO16,$A$6:$A$55,0))&gt;$E16,INDEX($F$6:$F$55,MATCH(AO16,$A$6:$A$55,0))&gt;$F16),1,0),1))</f>
        <v>0</v>
      </c>
      <c r="AT16" s="42" t="n">
        <f aca="false">IF(AP16="",0,IFERROR(IF(OR(INDEX($E$6:$E$55,MATCH(AP16,$A$6:$A$55,0))&gt;$E16,INDEX($F$6:$F$55,MATCH(AP16,$A$6:$A$55,0))&gt;$F16),1,0),1))</f>
        <v>0</v>
      </c>
    </row>
    <row r="17" customFormat="false" ht="27.75" hidden="false" customHeight="true" outlineLevel="0" collapsed="false">
      <c r="A17" s="31" t="s">
        <v>128</v>
      </c>
      <c r="B17" s="32" t="s">
        <v>129</v>
      </c>
      <c r="C17" s="33" t="s">
        <v>24</v>
      </c>
      <c r="D17" s="32" t="s">
        <v>22</v>
      </c>
      <c r="E17" s="34" t="n">
        <v>1</v>
      </c>
      <c r="F17" s="34" t="n">
        <v>1</v>
      </c>
      <c r="G17" s="35"/>
      <c r="H17" s="36" t="n">
        <v>150</v>
      </c>
      <c r="I17" s="37" t="s">
        <v>97</v>
      </c>
      <c r="J17" s="32" t="s">
        <v>130</v>
      </c>
      <c r="K17" s="37" t="s">
        <v>99</v>
      </c>
      <c r="L17" s="33" t="s">
        <v>94</v>
      </c>
      <c r="M17" s="38" t="n">
        <f aca="false">F17-E17+1</f>
        <v>1</v>
      </c>
      <c r="N17" s="39" t="n">
        <f aca="false">IF(M17&lt;=0,0,H17/M17)</f>
        <v>150</v>
      </c>
      <c r="O17" s="38" t="n">
        <f aca="false">SUM(AQ17:AT17)+IF(LEN($G17)-LEN(SUBSTITUTE($G17,",",""))&gt;=4,1,0)</f>
        <v>0</v>
      </c>
      <c r="P17" s="40"/>
      <c r="Q17" s="40"/>
      <c r="R17" s="40"/>
      <c r="S17" s="40"/>
      <c r="T17" s="40"/>
      <c r="U17" s="40"/>
      <c r="V17" s="40"/>
      <c r="W17" s="40"/>
      <c r="X17" s="40"/>
      <c r="Y17" s="40"/>
      <c r="Z17" s="40"/>
      <c r="AA17" s="40"/>
      <c r="AB17" s="40"/>
      <c r="AC17" s="40"/>
      <c r="AD17" s="40"/>
      <c r="AE17" s="40"/>
      <c r="AF17" s="40"/>
      <c r="AG17" s="40"/>
      <c r="AH17" s="40"/>
      <c r="AI17" s="40"/>
      <c r="AJ17" s="40"/>
      <c r="AK17" s="40"/>
      <c r="AM17" s="41" t="str">
        <f aca="false">TRIM(MID(SUBSTITUTE($G17&amp;",",",",REPT(" ",99)),1,99))</f>
        <v/>
      </c>
      <c r="AN17" s="41" t="str">
        <f aca="false">TRIM(MID(SUBSTITUTE($G17&amp;",",",",REPT(" ",99)),100,99))</f>
        <v/>
      </c>
      <c r="AO17" s="41" t="str">
        <f aca="false">TRIM(MID(SUBSTITUTE($G17&amp;",",",",REPT(" ",99)),199,99))</f>
        <v/>
      </c>
      <c r="AP17" s="41" t="str">
        <f aca="false">TRIM(MID(SUBSTITUTE($G17&amp;",",",",REPT(" ",99)),298,99))</f>
        <v/>
      </c>
      <c r="AQ17" s="42" t="n">
        <f aca="false">IF(AM17="",0,IFERROR(IF(OR(INDEX($E$6:$E$55,MATCH(AM17,$A$6:$A$55,0))&gt;$E17,INDEX($F$6:$F$55,MATCH(AM17,$A$6:$A$55,0))&gt;$F17),1,0),1))</f>
        <v>0</v>
      </c>
      <c r="AR17" s="42" t="n">
        <f aca="false">IF(AN17="",0,IFERROR(IF(OR(INDEX($E$6:$E$55,MATCH(AN17,$A$6:$A$55,0))&gt;$E17,INDEX($F$6:$F$55,MATCH(AN17,$A$6:$A$55,0))&gt;$F17),1,0),1))</f>
        <v>0</v>
      </c>
      <c r="AS17" s="42" t="n">
        <f aca="false">IF(AO17="",0,IFERROR(IF(OR(INDEX($E$6:$E$55,MATCH(AO17,$A$6:$A$55,0))&gt;$E17,INDEX($F$6:$F$55,MATCH(AO17,$A$6:$A$55,0))&gt;$F17),1,0),1))</f>
        <v>0</v>
      </c>
      <c r="AT17" s="42" t="n">
        <f aca="false">IF(AP17="",0,IFERROR(IF(OR(INDEX($E$6:$E$55,MATCH(AP17,$A$6:$A$55,0))&gt;$E17,INDEX($F$6:$F$55,MATCH(AP17,$A$6:$A$55,0))&gt;$F17),1,0),1))</f>
        <v>0</v>
      </c>
    </row>
    <row r="18" customFormat="false" ht="27.75" hidden="false" customHeight="true" outlineLevel="0" collapsed="false">
      <c r="A18" s="31" t="s">
        <v>131</v>
      </c>
      <c r="B18" s="32" t="s">
        <v>132</v>
      </c>
      <c r="C18" s="33" t="s">
        <v>24</v>
      </c>
      <c r="D18" s="32" t="s">
        <v>21</v>
      </c>
      <c r="E18" s="34" t="n">
        <v>2</v>
      </c>
      <c r="F18" s="34" t="n">
        <v>2</v>
      </c>
      <c r="G18" s="35" t="s">
        <v>133</v>
      </c>
      <c r="H18" s="36" t="n">
        <v>500</v>
      </c>
      <c r="I18" s="37" t="s">
        <v>97</v>
      </c>
      <c r="J18" s="32" t="s">
        <v>134</v>
      </c>
      <c r="K18" s="37" t="s">
        <v>93</v>
      </c>
      <c r="L18" s="33" t="s">
        <v>94</v>
      </c>
      <c r="M18" s="38" t="n">
        <f aca="false">F18-E18+1</f>
        <v>1</v>
      </c>
      <c r="N18" s="39" t="n">
        <f aca="false">IF(M18&lt;=0,0,H18/M18)</f>
        <v>500</v>
      </c>
      <c r="O18" s="38" t="n">
        <f aca="false">SUM(AQ18:AT18)+IF(LEN($G18)-LEN(SUBSTITUTE($G18,",",""))&gt;=4,1,0)</f>
        <v>0</v>
      </c>
      <c r="P18" s="40"/>
      <c r="Q18" s="40"/>
      <c r="R18" s="40"/>
      <c r="S18" s="40"/>
      <c r="T18" s="40"/>
      <c r="U18" s="40"/>
      <c r="V18" s="40"/>
      <c r="W18" s="40"/>
      <c r="X18" s="40"/>
      <c r="Y18" s="40"/>
      <c r="Z18" s="40"/>
      <c r="AA18" s="40"/>
      <c r="AB18" s="40"/>
      <c r="AC18" s="40"/>
      <c r="AD18" s="40"/>
      <c r="AE18" s="40"/>
      <c r="AF18" s="40"/>
      <c r="AG18" s="40"/>
      <c r="AH18" s="40"/>
      <c r="AI18" s="40"/>
      <c r="AJ18" s="40"/>
      <c r="AK18" s="40"/>
      <c r="AM18" s="41" t="str">
        <f aca="false">TRIM(MID(SUBSTITUTE($G18&amp;",",",",REPT(" ",99)),1,99))</f>
        <v>A4</v>
      </c>
      <c r="AN18" s="41" t="str">
        <f aca="false">TRIM(MID(SUBSTITUTE($G18&amp;",",",",REPT(" ",99)),100,99))</f>
        <v>B1</v>
      </c>
      <c r="AO18" s="41" t="str">
        <f aca="false">TRIM(MID(SUBSTITUTE($G18&amp;",",",",REPT(" ",99)),199,99))</f>
        <v/>
      </c>
      <c r="AP18" s="41" t="str">
        <f aca="false">TRIM(MID(SUBSTITUTE($G18&amp;",",",",REPT(" ",99)),298,99))</f>
        <v/>
      </c>
      <c r="AQ18" s="42" t="n">
        <f aca="false">IF(AM18="",0,IFERROR(IF(OR(INDEX($E$6:$E$55,MATCH(AM18,$A$6:$A$55,0))&gt;$E18,INDEX($F$6:$F$55,MATCH(AM18,$A$6:$A$55,0))&gt;$F18),1,0),1))</f>
        <v>0</v>
      </c>
      <c r="AR18" s="42" t="n">
        <f aca="false">IF(AN18="",0,IFERROR(IF(OR(INDEX($E$6:$E$55,MATCH(AN18,$A$6:$A$55,0))&gt;$E18,INDEX($F$6:$F$55,MATCH(AN18,$A$6:$A$55,0))&gt;$F18),1,0),1))</f>
        <v>0</v>
      </c>
      <c r="AS18" s="42" t="n">
        <f aca="false">IF(AO18="",0,IFERROR(IF(OR(INDEX($E$6:$E$55,MATCH(AO18,$A$6:$A$55,0))&gt;$E18,INDEX($F$6:$F$55,MATCH(AO18,$A$6:$A$55,0))&gt;$F18),1,0),1))</f>
        <v>0</v>
      </c>
      <c r="AT18" s="42" t="n">
        <f aca="false">IF(AP18="",0,IFERROR(IF(OR(INDEX($E$6:$E$55,MATCH(AP18,$A$6:$A$55,0))&gt;$E18,INDEX($F$6:$F$55,MATCH(AP18,$A$6:$A$55,0))&gt;$F18),1,0),1))</f>
        <v>0</v>
      </c>
    </row>
    <row r="19" customFormat="false" ht="40.5" hidden="false" customHeight="true" outlineLevel="0" collapsed="false">
      <c r="A19" s="31" t="s">
        <v>135</v>
      </c>
      <c r="B19" s="32" t="s">
        <v>136</v>
      </c>
      <c r="C19" s="33" t="s">
        <v>24</v>
      </c>
      <c r="D19" s="32" t="s">
        <v>137</v>
      </c>
      <c r="E19" s="34" t="n">
        <v>1</v>
      </c>
      <c r="F19" s="34" t="n">
        <v>1</v>
      </c>
      <c r="G19" s="35" t="s">
        <v>128</v>
      </c>
      <c r="H19" s="36" t="n">
        <v>800</v>
      </c>
      <c r="I19" s="37" t="s">
        <v>97</v>
      </c>
      <c r="J19" s="32" t="s">
        <v>138</v>
      </c>
      <c r="K19" s="37" t="s">
        <v>99</v>
      </c>
      <c r="L19" s="33" t="s">
        <v>94</v>
      </c>
      <c r="M19" s="38" t="n">
        <f aca="false">F19-E19+1</f>
        <v>1</v>
      </c>
      <c r="N19" s="39" t="n">
        <f aca="false">IF(M19&lt;=0,0,H19/M19)</f>
        <v>800</v>
      </c>
      <c r="O19" s="38" t="n">
        <f aca="false">SUM(AQ19:AT19)+IF(LEN($G19)-LEN(SUBSTITUTE($G19,",",""))&gt;=4,1,0)</f>
        <v>0</v>
      </c>
      <c r="P19" s="40"/>
      <c r="Q19" s="40"/>
      <c r="R19" s="40"/>
      <c r="S19" s="40"/>
      <c r="T19" s="40"/>
      <c r="U19" s="40"/>
      <c r="V19" s="40"/>
      <c r="W19" s="40"/>
      <c r="X19" s="40"/>
      <c r="Y19" s="40"/>
      <c r="Z19" s="40"/>
      <c r="AA19" s="40"/>
      <c r="AB19" s="40"/>
      <c r="AC19" s="40"/>
      <c r="AD19" s="40"/>
      <c r="AE19" s="40"/>
      <c r="AF19" s="40"/>
      <c r="AG19" s="40"/>
      <c r="AH19" s="40"/>
      <c r="AI19" s="40"/>
      <c r="AJ19" s="40"/>
      <c r="AK19" s="40"/>
      <c r="AM19" s="41" t="str">
        <f aca="false">TRIM(MID(SUBSTITUTE($G19&amp;",",",",REPT(" ",99)),1,99))</f>
        <v>B1</v>
      </c>
      <c r="AN19" s="41" t="str">
        <f aca="false">TRIM(MID(SUBSTITUTE($G19&amp;",",",",REPT(" ",99)),100,99))</f>
        <v/>
      </c>
      <c r="AO19" s="41" t="str">
        <f aca="false">TRIM(MID(SUBSTITUTE($G19&amp;",",",",REPT(" ",99)),199,99))</f>
        <v/>
      </c>
      <c r="AP19" s="41" t="str">
        <f aca="false">TRIM(MID(SUBSTITUTE($G19&amp;",",",",REPT(" ",99)),298,99))</f>
        <v/>
      </c>
      <c r="AQ19" s="42" t="n">
        <f aca="false">IF(AM19="",0,IFERROR(IF(OR(INDEX($E$6:$E$55,MATCH(AM19,$A$6:$A$55,0))&gt;$E19,INDEX($F$6:$F$55,MATCH(AM19,$A$6:$A$55,0))&gt;$F19),1,0),1))</f>
        <v>0</v>
      </c>
      <c r="AR19" s="42" t="n">
        <f aca="false">IF(AN19="",0,IFERROR(IF(OR(INDEX($E$6:$E$55,MATCH(AN19,$A$6:$A$55,0))&gt;$E19,INDEX($F$6:$F$55,MATCH(AN19,$A$6:$A$55,0))&gt;$F19),1,0),1))</f>
        <v>0</v>
      </c>
      <c r="AS19" s="42" t="n">
        <f aca="false">IF(AO19="",0,IFERROR(IF(OR(INDEX($E$6:$E$55,MATCH(AO19,$A$6:$A$55,0))&gt;$E19,INDEX($F$6:$F$55,MATCH(AO19,$A$6:$A$55,0))&gt;$F19),1,0),1))</f>
        <v>0</v>
      </c>
      <c r="AT19" s="42" t="n">
        <f aca="false">IF(AP19="",0,IFERROR(IF(OR(INDEX($E$6:$E$55,MATCH(AP19,$A$6:$A$55,0))&gt;$E19,INDEX($F$6:$F$55,MATCH(AP19,$A$6:$A$55,0))&gt;$F19),1,0),1))</f>
        <v>0</v>
      </c>
    </row>
    <row r="20" customFormat="false" ht="40.5" hidden="false" customHeight="true" outlineLevel="0" collapsed="false">
      <c r="A20" s="31" t="s">
        <v>139</v>
      </c>
      <c r="B20" s="32" t="s">
        <v>140</v>
      </c>
      <c r="C20" s="33" t="s">
        <v>24</v>
      </c>
      <c r="D20" s="32" t="s">
        <v>22</v>
      </c>
      <c r="E20" s="34" t="n">
        <v>2</v>
      </c>
      <c r="F20" s="34" t="n">
        <v>14</v>
      </c>
      <c r="G20" s="35" t="s">
        <v>135</v>
      </c>
      <c r="H20" s="36" t="n">
        <v>0</v>
      </c>
      <c r="I20" s="37" t="s">
        <v>91</v>
      </c>
      <c r="J20" s="32" t="s">
        <v>141</v>
      </c>
      <c r="K20" s="37" t="s">
        <v>93</v>
      </c>
      <c r="L20" s="33" t="s">
        <v>94</v>
      </c>
      <c r="M20" s="38" t="n">
        <f aca="false">F20-E20+1</f>
        <v>13</v>
      </c>
      <c r="N20" s="39" t="n">
        <f aca="false">IF(M20&lt;=0,0,H20/M20)</f>
        <v>0</v>
      </c>
      <c r="O20" s="38" t="n">
        <f aca="false">SUM(AQ20:AT20)+IF(LEN($G20)-LEN(SUBSTITUTE($G20,",",""))&gt;=4,1,0)</f>
        <v>0</v>
      </c>
      <c r="P20" s="40"/>
      <c r="Q20" s="40"/>
      <c r="R20" s="40"/>
      <c r="S20" s="40"/>
      <c r="T20" s="40"/>
      <c r="U20" s="40"/>
      <c r="V20" s="40"/>
      <c r="W20" s="40"/>
      <c r="X20" s="40"/>
      <c r="Y20" s="40"/>
      <c r="Z20" s="40"/>
      <c r="AA20" s="40"/>
      <c r="AB20" s="40"/>
      <c r="AC20" s="40"/>
      <c r="AD20" s="40"/>
      <c r="AE20" s="40"/>
      <c r="AF20" s="40"/>
      <c r="AG20" s="40"/>
      <c r="AH20" s="40"/>
      <c r="AI20" s="40"/>
      <c r="AJ20" s="40"/>
      <c r="AK20" s="40"/>
      <c r="AM20" s="41" t="str">
        <f aca="false">TRIM(MID(SUBSTITUTE($G20&amp;",",",",REPT(" ",99)),1,99))</f>
        <v>B3</v>
      </c>
      <c r="AN20" s="41" t="str">
        <f aca="false">TRIM(MID(SUBSTITUTE($G20&amp;",",",",REPT(" ",99)),100,99))</f>
        <v/>
      </c>
      <c r="AO20" s="41" t="str">
        <f aca="false">TRIM(MID(SUBSTITUTE($G20&amp;",",",",REPT(" ",99)),199,99))</f>
        <v/>
      </c>
      <c r="AP20" s="41" t="str">
        <f aca="false">TRIM(MID(SUBSTITUTE($G20&amp;",",",",REPT(" ",99)),298,99))</f>
        <v/>
      </c>
      <c r="AQ20" s="42" t="n">
        <f aca="false">IF(AM20="",0,IFERROR(IF(OR(INDEX($E$6:$E$55,MATCH(AM20,$A$6:$A$55,0))&gt;$E20,INDEX($F$6:$F$55,MATCH(AM20,$A$6:$A$55,0))&gt;$F20),1,0),1))</f>
        <v>0</v>
      </c>
      <c r="AR20" s="42" t="n">
        <f aca="false">IF(AN20="",0,IFERROR(IF(OR(INDEX($E$6:$E$55,MATCH(AN20,$A$6:$A$55,0))&gt;$E20,INDEX($F$6:$F$55,MATCH(AN20,$A$6:$A$55,0))&gt;$F20),1,0),1))</f>
        <v>0</v>
      </c>
      <c r="AS20" s="42" t="n">
        <f aca="false">IF(AO20="",0,IFERROR(IF(OR(INDEX($E$6:$E$55,MATCH(AO20,$A$6:$A$55,0))&gt;$E20,INDEX($F$6:$F$55,MATCH(AO20,$A$6:$A$55,0))&gt;$F20),1,0),1))</f>
        <v>0</v>
      </c>
      <c r="AT20" s="42" t="n">
        <f aca="false">IF(AP20="",0,IFERROR(IF(OR(INDEX($E$6:$E$55,MATCH(AP20,$A$6:$A$55,0))&gt;$E20,INDEX($F$6:$F$55,MATCH(AP20,$A$6:$A$55,0))&gt;$F20),1,0),1))</f>
        <v>0</v>
      </c>
    </row>
    <row r="21" customFormat="false" ht="15" hidden="false" customHeight="false" outlineLevel="0" collapsed="false">
      <c r="A21" s="29" t="s">
        <v>142</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customFormat="false" ht="27.75" hidden="false" customHeight="true" outlineLevel="0" collapsed="false">
      <c r="A22" s="31" t="s">
        <v>143</v>
      </c>
      <c r="B22" s="32" t="s">
        <v>144</v>
      </c>
      <c r="C22" s="33" t="s">
        <v>21</v>
      </c>
      <c r="D22" s="32" t="s">
        <v>22</v>
      </c>
      <c r="E22" s="34" t="n">
        <v>3</v>
      </c>
      <c r="F22" s="34" t="n">
        <v>4</v>
      </c>
      <c r="G22" s="35" t="s">
        <v>145</v>
      </c>
      <c r="H22" s="36" t="n">
        <v>0</v>
      </c>
      <c r="I22" s="37" t="s">
        <v>91</v>
      </c>
      <c r="J22" s="32" t="s">
        <v>146</v>
      </c>
      <c r="K22" s="37" t="s">
        <v>93</v>
      </c>
      <c r="L22" s="33" t="s">
        <v>94</v>
      </c>
      <c r="M22" s="38" t="n">
        <f aca="false">F22-E22+1</f>
        <v>2</v>
      </c>
      <c r="N22" s="39" t="n">
        <f aca="false">IF(M22&lt;=0,0,H22/M22)</f>
        <v>0</v>
      </c>
      <c r="O22" s="38" t="n">
        <f aca="false">SUM(AQ22:AT22)+IF(LEN($G22)-LEN(SUBSTITUTE($G22,",",""))&gt;=4,1,0)</f>
        <v>0</v>
      </c>
      <c r="P22" s="40"/>
      <c r="Q22" s="40"/>
      <c r="R22" s="40"/>
      <c r="S22" s="40"/>
      <c r="T22" s="40"/>
      <c r="U22" s="40"/>
      <c r="V22" s="40"/>
      <c r="W22" s="40"/>
      <c r="X22" s="40"/>
      <c r="Y22" s="40"/>
      <c r="Z22" s="40"/>
      <c r="AA22" s="40"/>
      <c r="AB22" s="40"/>
      <c r="AC22" s="40"/>
      <c r="AD22" s="40"/>
      <c r="AE22" s="40"/>
      <c r="AF22" s="40"/>
      <c r="AG22" s="40"/>
      <c r="AH22" s="40"/>
      <c r="AI22" s="40"/>
      <c r="AJ22" s="40"/>
      <c r="AK22" s="40"/>
      <c r="AM22" s="41" t="str">
        <f aca="false">TRIM(MID(SUBSTITUTE($G22&amp;",",",",REPT(" ",99)),1,99))</f>
        <v>A6</v>
      </c>
      <c r="AN22" s="41" t="str">
        <f aca="false">TRIM(MID(SUBSTITUTE($G22&amp;",",",",REPT(" ",99)),100,99))</f>
        <v>A8</v>
      </c>
      <c r="AO22" s="41" t="str">
        <f aca="false">TRIM(MID(SUBSTITUTE($G22&amp;",",",",REPT(" ",99)),199,99))</f>
        <v/>
      </c>
      <c r="AP22" s="41" t="str">
        <f aca="false">TRIM(MID(SUBSTITUTE($G22&amp;",",",",REPT(" ",99)),298,99))</f>
        <v/>
      </c>
      <c r="AQ22" s="42" t="n">
        <f aca="false">IF(AM22="",0,IFERROR(IF(OR(INDEX($E$6:$E$55,MATCH(AM22,$A$6:$A$55,0))&gt;$E22,INDEX($F$6:$F$55,MATCH(AM22,$A$6:$A$55,0))&gt;$F22),1,0),1))</f>
        <v>0</v>
      </c>
      <c r="AR22" s="42" t="n">
        <f aca="false">IF(AN22="",0,IFERROR(IF(OR(INDEX($E$6:$E$55,MATCH(AN22,$A$6:$A$55,0))&gt;$E22,INDEX($F$6:$F$55,MATCH(AN22,$A$6:$A$55,0))&gt;$F22),1,0),1))</f>
        <v>0</v>
      </c>
      <c r="AS22" s="42" t="n">
        <f aca="false">IF(AO22="",0,IFERROR(IF(OR(INDEX($E$6:$E$55,MATCH(AO22,$A$6:$A$55,0))&gt;$E22,INDEX($F$6:$F$55,MATCH(AO22,$A$6:$A$55,0))&gt;$F22),1,0),1))</f>
        <v>0</v>
      </c>
      <c r="AT22" s="42" t="n">
        <f aca="false">IF(AP22="",0,IFERROR(IF(OR(INDEX($E$6:$E$55,MATCH(AP22,$A$6:$A$55,0))&gt;$E22,INDEX($F$6:$F$55,MATCH(AP22,$A$6:$A$55,0))&gt;$F22),1,0),1))</f>
        <v>0</v>
      </c>
    </row>
    <row r="23" customFormat="false" ht="27.75" hidden="false" customHeight="true" outlineLevel="0" collapsed="false">
      <c r="A23" s="31" t="s">
        <v>147</v>
      </c>
      <c r="B23" s="32" t="s">
        <v>148</v>
      </c>
      <c r="C23" s="33" t="s">
        <v>22</v>
      </c>
      <c r="D23" s="32" t="s">
        <v>21</v>
      </c>
      <c r="E23" s="34" t="n">
        <v>4</v>
      </c>
      <c r="F23" s="34" t="n">
        <v>4</v>
      </c>
      <c r="G23" s="35" t="s">
        <v>149</v>
      </c>
      <c r="H23" s="36" t="n">
        <v>0</v>
      </c>
      <c r="I23" s="37" t="s">
        <v>91</v>
      </c>
      <c r="J23" s="32" t="s">
        <v>150</v>
      </c>
      <c r="K23" s="37" t="s">
        <v>93</v>
      </c>
      <c r="L23" s="33" t="s">
        <v>94</v>
      </c>
      <c r="M23" s="38" t="n">
        <f aca="false">F23-E23+1</f>
        <v>1</v>
      </c>
      <c r="N23" s="39" t="n">
        <f aca="false">IF(M23&lt;=0,0,H23/M23)</f>
        <v>0</v>
      </c>
      <c r="O23" s="38" t="n">
        <f aca="false">SUM(AQ23:AT23)+IF(LEN($G23)-LEN(SUBSTITUTE($G23,",",""))&gt;=4,1,0)</f>
        <v>0</v>
      </c>
      <c r="P23" s="40"/>
      <c r="Q23" s="40"/>
      <c r="R23" s="40"/>
      <c r="S23" s="40"/>
      <c r="T23" s="40"/>
      <c r="U23" s="40"/>
      <c r="V23" s="40"/>
      <c r="W23" s="40"/>
      <c r="X23" s="40"/>
      <c r="Y23" s="40"/>
      <c r="Z23" s="40"/>
      <c r="AA23" s="40"/>
      <c r="AB23" s="40"/>
      <c r="AC23" s="40"/>
      <c r="AD23" s="40"/>
      <c r="AE23" s="40"/>
      <c r="AF23" s="40"/>
      <c r="AG23" s="40"/>
      <c r="AH23" s="40"/>
      <c r="AI23" s="40"/>
      <c r="AJ23" s="40"/>
      <c r="AK23" s="40"/>
      <c r="AM23" s="41" t="str">
        <f aca="false">TRIM(MID(SUBSTITUTE($G23&amp;",",",",REPT(" ",99)),1,99))</f>
        <v>A2</v>
      </c>
      <c r="AN23" s="41" t="str">
        <f aca="false">TRIM(MID(SUBSTITUTE($G23&amp;",",",",REPT(" ",99)),100,99))</f>
        <v>C1</v>
      </c>
      <c r="AO23" s="41" t="str">
        <f aca="false">TRIM(MID(SUBSTITUTE($G23&amp;",",",",REPT(" ",99)),199,99))</f>
        <v/>
      </c>
      <c r="AP23" s="41" t="str">
        <f aca="false">TRIM(MID(SUBSTITUTE($G23&amp;",",",",REPT(" ",99)),298,99))</f>
        <v/>
      </c>
      <c r="AQ23" s="42" t="n">
        <f aca="false">IF(AM23="",0,IFERROR(IF(OR(INDEX($E$6:$E$55,MATCH(AM23,$A$6:$A$55,0))&gt;$E23,INDEX($F$6:$F$55,MATCH(AM23,$A$6:$A$55,0))&gt;$F23),1,0),1))</f>
        <v>0</v>
      </c>
      <c r="AR23" s="42" t="n">
        <f aca="false">IF(AN23="",0,IFERROR(IF(OR(INDEX($E$6:$E$55,MATCH(AN23,$A$6:$A$55,0))&gt;$E23,INDEX($F$6:$F$55,MATCH(AN23,$A$6:$A$55,0))&gt;$F23),1,0),1))</f>
        <v>0</v>
      </c>
      <c r="AS23" s="42" t="n">
        <f aca="false">IF(AO23="",0,IFERROR(IF(OR(INDEX($E$6:$E$55,MATCH(AO23,$A$6:$A$55,0))&gt;$E23,INDEX($F$6:$F$55,MATCH(AO23,$A$6:$A$55,0))&gt;$F23),1,0),1))</f>
        <v>0</v>
      </c>
      <c r="AT23" s="42" t="n">
        <f aca="false">IF(AP23="",0,IFERROR(IF(OR(INDEX($E$6:$E$55,MATCH(AP23,$A$6:$A$55,0))&gt;$E23,INDEX($F$6:$F$55,MATCH(AP23,$A$6:$A$55,0))&gt;$F23),1,0),1))</f>
        <v>0</v>
      </c>
    </row>
    <row r="24" customFormat="false" ht="40.5" hidden="false" customHeight="true" outlineLevel="0" collapsed="false">
      <c r="A24" s="31" t="s">
        <v>151</v>
      </c>
      <c r="B24" s="32" t="s">
        <v>152</v>
      </c>
      <c r="C24" s="33" t="s">
        <v>22</v>
      </c>
      <c r="D24" s="32" t="s">
        <v>21</v>
      </c>
      <c r="E24" s="34" t="n">
        <v>4</v>
      </c>
      <c r="F24" s="34" t="n">
        <v>5</v>
      </c>
      <c r="G24" s="35" t="s">
        <v>117</v>
      </c>
      <c r="H24" s="36" t="n">
        <v>300</v>
      </c>
      <c r="I24" s="37" t="s">
        <v>97</v>
      </c>
      <c r="J24" s="32" t="s">
        <v>153</v>
      </c>
      <c r="K24" s="37" t="s">
        <v>99</v>
      </c>
      <c r="L24" s="33" t="s">
        <v>94</v>
      </c>
      <c r="M24" s="38" t="n">
        <f aca="false">F24-E24+1</f>
        <v>2</v>
      </c>
      <c r="N24" s="39" t="n">
        <f aca="false">IF(M24&lt;=0,0,H24/M24)</f>
        <v>150</v>
      </c>
      <c r="O24" s="38" t="n">
        <f aca="false">SUM(AQ24:AT24)+IF(LEN($G24)-LEN(SUBSTITUTE($G24,",",""))&gt;=4,1,0)</f>
        <v>0</v>
      </c>
      <c r="P24" s="40"/>
      <c r="Q24" s="40"/>
      <c r="R24" s="40"/>
      <c r="S24" s="40"/>
      <c r="T24" s="40"/>
      <c r="U24" s="40"/>
      <c r="V24" s="40"/>
      <c r="W24" s="40"/>
      <c r="X24" s="40"/>
      <c r="Y24" s="40"/>
      <c r="Z24" s="40"/>
      <c r="AA24" s="40"/>
      <c r="AB24" s="40"/>
      <c r="AC24" s="40"/>
      <c r="AD24" s="40"/>
      <c r="AE24" s="40"/>
      <c r="AF24" s="40"/>
      <c r="AG24" s="40"/>
      <c r="AH24" s="40"/>
      <c r="AI24" s="40"/>
      <c r="AJ24" s="40"/>
      <c r="AK24" s="40"/>
      <c r="AM24" s="41" t="str">
        <f aca="false">TRIM(MID(SUBSTITUTE($G24&amp;",",",",REPT(" ",99)),1,99))</f>
        <v>A8</v>
      </c>
      <c r="AN24" s="41" t="str">
        <f aca="false">TRIM(MID(SUBSTITUTE($G24&amp;",",",",REPT(" ",99)),100,99))</f>
        <v/>
      </c>
      <c r="AO24" s="41" t="str">
        <f aca="false">TRIM(MID(SUBSTITUTE($G24&amp;",",",",REPT(" ",99)),199,99))</f>
        <v/>
      </c>
      <c r="AP24" s="41" t="str">
        <f aca="false">TRIM(MID(SUBSTITUTE($G24&amp;",",",",REPT(" ",99)),298,99))</f>
        <v/>
      </c>
      <c r="AQ24" s="42" t="n">
        <f aca="false">IF(AM24="",0,IFERROR(IF(OR(INDEX($E$6:$E$55,MATCH(AM24,$A$6:$A$55,0))&gt;$E24,INDEX($F$6:$F$55,MATCH(AM24,$A$6:$A$55,0))&gt;$F24),1,0),1))</f>
        <v>0</v>
      </c>
      <c r="AR24" s="42" t="n">
        <f aca="false">IF(AN24="",0,IFERROR(IF(OR(INDEX($E$6:$E$55,MATCH(AN24,$A$6:$A$55,0))&gt;$E24,INDEX($F$6:$F$55,MATCH(AN24,$A$6:$A$55,0))&gt;$F24),1,0),1))</f>
        <v>0</v>
      </c>
      <c r="AS24" s="42" t="n">
        <f aca="false">IF(AO24="",0,IFERROR(IF(OR(INDEX($E$6:$E$55,MATCH(AO24,$A$6:$A$55,0))&gt;$E24,INDEX($F$6:$F$55,MATCH(AO24,$A$6:$A$55,0))&gt;$F24),1,0),1))</f>
        <v>0</v>
      </c>
      <c r="AT24" s="42" t="n">
        <f aca="false">IF(AP24="",0,IFERROR(IF(OR(INDEX($E$6:$E$55,MATCH(AP24,$A$6:$A$55,0))&gt;$E24,INDEX($F$6:$F$55,MATCH(AP24,$A$6:$A$55,0))&gt;$F24),1,0),1))</f>
        <v>0</v>
      </c>
    </row>
    <row r="25" customFormat="false" ht="66.75" hidden="false" customHeight="true" outlineLevel="0" collapsed="false">
      <c r="A25" s="31" t="s">
        <v>154</v>
      </c>
      <c r="B25" s="32" t="s">
        <v>155</v>
      </c>
      <c r="C25" s="33" t="s">
        <v>25</v>
      </c>
      <c r="D25" s="32" t="s">
        <v>21</v>
      </c>
      <c r="E25" s="34" t="n">
        <v>2</v>
      </c>
      <c r="F25" s="34" t="n">
        <v>4</v>
      </c>
      <c r="G25" s="35"/>
      <c r="H25" s="36" t="n">
        <v>0</v>
      </c>
      <c r="I25" s="37" t="s">
        <v>91</v>
      </c>
      <c r="J25" s="32" t="s">
        <v>156</v>
      </c>
      <c r="K25" s="37" t="s">
        <v>93</v>
      </c>
      <c r="L25" s="33" t="s">
        <v>94</v>
      </c>
      <c r="M25" s="38" t="n">
        <f aca="false">F25-E25+1</f>
        <v>3</v>
      </c>
      <c r="N25" s="39" t="n">
        <f aca="false">IF(M25&lt;=0,0,H25/M25)</f>
        <v>0</v>
      </c>
      <c r="O25" s="38" t="n">
        <f aca="false">SUM(AQ25:AT25)+IF(LEN($G25)-LEN(SUBSTITUTE($G25,",",""))&gt;=4,1,0)</f>
        <v>0</v>
      </c>
      <c r="P25" s="40"/>
      <c r="Q25" s="40"/>
      <c r="R25" s="40"/>
      <c r="S25" s="40"/>
      <c r="T25" s="40"/>
      <c r="U25" s="40"/>
      <c r="V25" s="40"/>
      <c r="W25" s="40"/>
      <c r="X25" s="40"/>
      <c r="Y25" s="40"/>
      <c r="Z25" s="40"/>
      <c r="AA25" s="40"/>
      <c r="AB25" s="40"/>
      <c r="AC25" s="40"/>
      <c r="AD25" s="40"/>
      <c r="AE25" s="40"/>
      <c r="AF25" s="40"/>
      <c r="AG25" s="40"/>
      <c r="AH25" s="40"/>
      <c r="AI25" s="40"/>
      <c r="AJ25" s="40"/>
      <c r="AK25" s="40"/>
      <c r="AM25" s="41" t="str">
        <f aca="false">TRIM(MID(SUBSTITUTE($G25&amp;",",",",REPT(" ",99)),1,99))</f>
        <v/>
      </c>
      <c r="AN25" s="41" t="str">
        <f aca="false">TRIM(MID(SUBSTITUTE($G25&amp;",",",",REPT(" ",99)),100,99))</f>
        <v/>
      </c>
      <c r="AO25" s="41" t="str">
        <f aca="false">TRIM(MID(SUBSTITUTE($G25&amp;",",",",REPT(" ",99)),199,99))</f>
        <v/>
      </c>
      <c r="AP25" s="41" t="str">
        <f aca="false">TRIM(MID(SUBSTITUTE($G25&amp;",",",",REPT(" ",99)),298,99))</f>
        <v/>
      </c>
      <c r="AQ25" s="42" t="n">
        <f aca="false">IF(AM25="",0,IFERROR(IF(OR(INDEX($E$6:$E$55,MATCH(AM25,$A$6:$A$55,0))&gt;$E25,INDEX($F$6:$F$55,MATCH(AM25,$A$6:$A$55,0))&gt;$F25),1,0),1))</f>
        <v>0</v>
      </c>
      <c r="AR25" s="42" t="n">
        <f aca="false">IF(AN25="",0,IFERROR(IF(OR(INDEX($E$6:$E$55,MATCH(AN25,$A$6:$A$55,0))&gt;$E25,INDEX($F$6:$F$55,MATCH(AN25,$A$6:$A$55,0))&gt;$F25),1,0),1))</f>
        <v>0</v>
      </c>
      <c r="AS25" s="42" t="n">
        <f aca="false">IF(AO25="",0,IFERROR(IF(OR(INDEX($E$6:$E$55,MATCH(AO25,$A$6:$A$55,0))&gt;$E25,INDEX($F$6:$F$55,MATCH(AO25,$A$6:$A$55,0))&gt;$F25),1,0),1))</f>
        <v>0</v>
      </c>
      <c r="AT25" s="42" t="n">
        <f aca="false">IF(AP25="",0,IFERROR(IF(OR(INDEX($E$6:$E$55,MATCH(AP25,$A$6:$A$55,0))&gt;$E25,INDEX($F$6:$F$55,MATCH(AP25,$A$6:$A$55,0))&gt;$F25),1,0),1))</f>
        <v>0</v>
      </c>
    </row>
    <row r="26" customFormat="false" ht="54" hidden="false" customHeight="true" outlineLevel="0" collapsed="false">
      <c r="A26" s="31" t="s">
        <v>157</v>
      </c>
      <c r="B26" s="32" t="s">
        <v>158</v>
      </c>
      <c r="C26" s="33" t="s">
        <v>21</v>
      </c>
      <c r="D26" s="32" t="s">
        <v>159</v>
      </c>
      <c r="E26" s="34" t="n">
        <v>3</v>
      </c>
      <c r="F26" s="34" t="n">
        <v>5</v>
      </c>
      <c r="G26" s="35" t="s">
        <v>160</v>
      </c>
      <c r="H26" s="36" t="n">
        <v>400</v>
      </c>
      <c r="I26" s="37" t="s">
        <v>97</v>
      </c>
      <c r="J26" s="32" t="s">
        <v>161</v>
      </c>
      <c r="K26" s="37" t="s">
        <v>99</v>
      </c>
      <c r="L26" s="33" t="s">
        <v>94</v>
      </c>
      <c r="M26" s="38" t="n">
        <f aca="false">F26-E26+1</f>
        <v>3</v>
      </c>
      <c r="N26" s="39" t="n">
        <f aca="false">IF(M26&lt;=0,0,H26/M26)</f>
        <v>133.333333333333</v>
      </c>
      <c r="O26" s="38" t="n">
        <f aca="false">SUM(AQ26:AT26)+IF(LEN($G26)-LEN(SUBSTITUTE($G26,",",""))&gt;=4,1,0)</f>
        <v>0</v>
      </c>
      <c r="P26" s="40"/>
      <c r="Q26" s="40"/>
      <c r="R26" s="40"/>
      <c r="S26" s="40"/>
      <c r="T26" s="40"/>
      <c r="U26" s="40"/>
      <c r="V26" s="40"/>
      <c r="W26" s="40"/>
      <c r="X26" s="40"/>
      <c r="Y26" s="40"/>
      <c r="Z26" s="40"/>
      <c r="AA26" s="40"/>
      <c r="AB26" s="40"/>
      <c r="AC26" s="40"/>
      <c r="AD26" s="40"/>
      <c r="AE26" s="40"/>
      <c r="AF26" s="40"/>
      <c r="AG26" s="40"/>
      <c r="AH26" s="40"/>
      <c r="AI26" s="40"/>
      <c r="AJ26" s="40"/>
      <c r="AK26" s="40"/>
      <c r="AM26" s="41" t="str">
        <f aca="false">TRIM(MID(SUBSTITUTE($G26&amp;",",",",REPT(" ",99)),1,99))</f>
        <v>A1</v>
      </c>
      <c r="AN26" s="41" t="str">
        <f aca="false">TRIM(MID(SUBSTITUTE($G26&amp;",",",",REPT(" ",99)),100,99))</f>
        <v>D1</v>
      </c>
      <c r="AO26" s="41" t="str">
        <f aca="false">TRIM(MID(SUBSTITUTE($G26&amp;",",",",REPT(" ",99)),199,99))</f>
        <v/>
      </c>
      <c r="AP26" s="41" t="str">
        <f aca="false">TRIM(MID(SUBSTITUTE($G26&amp;",",",",REPT(" ",99)),298,99))</f>
        <v/>
      </c>
      <c r="AQ26" s="42" t="n">
        <f aca="false">IF(AM26="",0,IFERROR(IF(OR(INDEX($E$6:$E$55,MATCH(AM26,$A$6:$A$55,0))&gt;$E26,INDEX($F$6:$F$55,MATCH(AM26,$A$6:$A$55,0))&gt;$F26),1,0),1))</f>
        <v>0</v>
      </c>
      <c r="AR26" s="42" t="n">
        <f aca="false">IF(AN26="",0,IFERROR(IF(OR(INDEX($E$6:$E$55,MATCH(AN26,$A$6:$A$55,0))&gt;$E26,INDEX($F$6:$F$55,MATCH(AN26,$A$6:$A$55,0))&gt;$F26),1,0),1))</f>
        <v>0</v>
      </c>
      <c r="AS26" s="42" t="n">
        <f aca="false">IF(AO26="",0,IFERROR(IF(OR(INDEX($E$6:$E$55,MATCH(AO26,$A$6:$A$55,0))&gt;$E26,INDEX($F$6:$F$55,MATCH(AO26,$A$6:$A$55,0))&gt;$F26),1,0),1))</f>
        <v>0</v>
      </c>
      <c r="AT26" s="42" t="n">
        <f aca="false">IF(AP26="",0,IFERROR(IF(OR(INDEX($E$6:$E$55,MATCH(AP26,$A$6:$A$55,0))&gt;$E26,INDEX($F$6:$F$55,MATCH(AP26,$A$6:$A$55,0))&gt;$F26),1,0),1))</f>
        <v>0</v>
      </c>
    </row>
    <row r="27" customFormat="false" ht="27.75" hidden="false" customHeight="true" outlineLevel="0" collapsed="false">
      <c r="A27" s="31" t="s">
        <v>162</v>
      </c>
      <c r="B27" s="32" t="s">
        <v>163</v>
      </c>
      <c r="C27" s="33" t="s">
        <v>25</v>
      </c>
      <c r="D27" s="32" t="s">
        <v>22</v>
      </c>
      <c r="E27" s="34" t="n">
        <v>3</v>
      </c>
      <c r="F27" s="34" t="n">
        <v>4</v>
      </c>
      <c r="G27" s="35"/>
      <c r="H27" s="36" t="n">
        <v>500</v>
      </c>
      <c r="I27" s="37" t="s">
        <v>97</v>
      </c>
      <c r="J27" s="32" t="s">
        <v>164</v>
      </c>
      <c r="K27" s="37" t="s">
        <v>99</v>
      </c>
      <c r="L27" s="33" t="s">
        <v>94</v>
      </c>
      <c r="M27" s="38" t="n">
        <f aca="false">F27-E27+1</f>
        <v>2</v>
      </c>
      <c r="N27" s="39" t="n">
        <f aca="false">IF(M27&lt;=0,0,H27/M27)</f>
        <v>250</v>
      </c>
      <c r="O27" s="38" t="n">
        <f aca="false">SUM(AQ27:AT27)+IF(LEN($G27)-LEN(SUBSTITUTE($G27,",",""))&gt;=4,1,0)</f>
        <v>0</v>
      </c>
      <c r="P27" s="40"/>
      <c r="Q27" s="40"/>
      <c r="R27" s="40"/>
      <c r="S27" s="40"/>
      <c r="T27" s="40"/>
      <c r="U27" s="40"/>
      <c r="V27" s="40"/>
      <c r="W27" s="40"/>
      <c r="X27" s="40"/>
      <c r="Y27" s="40"/>
      <c r="Z27" s="40"/>
      <c r="AA27" s="40"/>
      <c r="AB27" s="40"/>
      <c r="AC27" s="40"/>
      <c r="AD27" s="40"/>
      <c r="AE27" s="40"/>
      <c r="AF27" s="40"/>
      <c r="AG27" s="40"/>
      <c r="AH27" s="40"/>
      <c r="AI27" s="40"/>
      <c r="AJ27" s="40"/>
      <c r="AK27" s="40"/>
      <c r="AM27" s="41" t="str">
        <f aca="false">TRIM(MID(SUBSTITUTE($G27&amp;",",",",REPT(" ",99)),1,99))</f>
        <v/>
      </c>
      <c r="AN27" s="41" t="str">
        <f aca="false">TRIM(MID(SUBSTITUTE($G27&amp;",",",",REPT(" ",99)),100,99))</f>
        <v/>
      </c>
      <c r="AO27" s="41" t="str">
        <f aca="false">TRIM(MID(SUBSTITUTE($G27&amp;",",",",REPT(" ",99)),199,99))</f>
        <v/>
      </c>
      <c r="AP27" s="41" t="str">
        <f aca="false">TRIM(MID(SUBSTITUTE($G27&amp;",",",",REPT(" ",99)),298,99))</f>
        <v/>
      </c>
      <c r="AQ27" s="42" t="n">
        <f aca="false">IF(AM27="",0,IFERROR(IF(OR(INDEX($E$6:$E$55,MATCH(AM27,$A$6:$A$55,0))&gt;$E27,INDEX($F$6:$F$55,MATCH(AM27,$A$6:$A$55,0))&gt;$F27),1,0),1))</f>
        <v>0</v>
      </c>
      <c r="AR27" s="42" t="n">
        <f aca="false">IF(AN27="",0,IFERROR(IF(OR(INDEX($E$6:$E$55,MATCH(AN27,$A$6:$A$55,0))&gt;$E27,INDEX($F$6:$F$55,MATCH(AN27,$A$6:$A$55,0))&gt;$F27),1,0),1))</f>
        <v>0</v>
      </c>
      <c r="AS27" s="42" t="n">
        <f aca="false">IF(AO27="",0,IFERROR(IF(OR(INDEX($E$6:$E$55,MATCH(AO27,$A$6:$A$55,0))&gt;$E27,INDEX($F$6:$F$55,MATCH(AO27,$A$6:$A$55,0))&gt;$F27),1,0),1))</f>
        <v>0</v>
      </c>
      <c r="AT27" s="42" t="n">
        <f aca="false">IF(AP27="",0,IFERROR(IF(OR(INDEX($E$6:$E$55,MATCH(AP27,$A$6:$A$55,0))&gt;$E27,INDEX($F$6:$F$55,MATCH(AP27,$A$6:$A$55,0))&gt;$F27),1,0),1))</f>
        <v>0</v>
      </c>
    </row>
    <row r="28" customFormat="false" ht="40.5" hidden="false" customHeight="true" outlineLevel="0" collapsed="false">
      <c r="A28" s="31" t="s">
        <v>165</v>
      </c>
      <c r="B28" s="32" t="s">
        <v>166</v>
      </c>
      <c r="C28" s="33" t="s">
        <v>21</v>
      </c>
      <c r="D28" s="32" t="s">
        <v>25</v>
      </c>
      <c r="E28" s="34" t="n">
        <v>4</v>
      </c>
      <c r="F28" s="34" t="n">
        <v>7</v>
      </c>
      <c r="G28" s="35" t="s">
        <v>167</v>
      </c>
      <c r="H28" s="43" t="n">
        <v>7871.25</v>
      </c>
      <c r="I28" s="37" t="s">
        <v>168</v>
      </c>
      <c r="J28" s="32" t="s">
        <v>169</v>
      </c>
      <c r="K28" s="37" t="s">
        <v>93</v>
      </c>
      <c r="L28" s="33" t="s">
        <v>94</v>
      </c>
      <c r="M28" s="38" t="n">
        <f aca="false">F28-E28+1</f>
        <v>4</v>
      </c>
      <c r="N28" s="39" t="n">
        <f aca="false">IF(M28&lt;=0,0,H28/M28)</f>
        <v>1967.8125</v>
      </c>
      <c r="O28" s="38" t="n">
        <f aca="false">SUM(AQ28:AT28)+IF(LEN($G28)-LEN(SUBSTITUTE($G28,",",""))&gt;=4,1,0)</f>
        <v>0</v>
      </c>
      <c r="P28" s="40"/>
      <c r="Q28" s="40"/>
      <c r="R28" s="40"/>
      <c r="S28" s="40"/>
      <c r="T28" s="40"/>
      <c r="U28" s="40"/>
      <c r="V28" s="40"/>
      <c r="W28" s="40"/>
      <c r="X28" s="40"/>
      <c r="Y28" s="40"/>
      <c r="Z28" s="40"/>
      <c r="AA28" s="40"/>
      <c r="AB28" s="40"/>
      <c r="AC28" s="40"/>
      <c r="AD28" s="40"/>
      <c r="AE28" s="40"/>
      <c r="AF28" s="40"/>
      <c r="AG28" s="40"/>
      <c r="AH28" s="40"/>
      <c r="AI28" s="40"/>
      <c r="AJ28" s="40"/>
      <c r="AK28" s="40"/>
      <c r="AM28" s="41" t="str">
        <f aca="false">TRIM(MID(SUBSTITUTE($G28&amp;",",",",REPT(" ",99)),1,99))</f>
        <v>A9</v>
      </c>
      <c r="AN28" s="41" t="str">
        <f aca="false">TRIM(MID(SUBSTITUTE($G28&amp;",",",",REPT(" ",99)),100,99))</f>
        <v>D1</v>
      </c>
      <c r="AO28" s="41" t="str">
        <f aca="false">TRIM(MID(SUBSTITUTE($G28&amp;",",",",REPT(" ",99)),199,99))</f>
        <v>D2</v>
      </c>
      <c r="AP28" s="41" t="str">
        <f aca="false">TRIM(MID(SUBSTITUTE($G28&amp;",",",",REPT(" ",99)),298,99))</f>
        <v/>
      </c>
      <c r="AQ28" s="42" t="n">
        <f aca="false">IF(AM28="",0,IFERROR(IF(OR(INDEX($E$6:$E$55,MATCH(AM28,$A$6:$A$55,0))&gt;$E28,INDEX($F$6:$F$55,MATCH(AM28,$A$6:$A$55,0))&gt;$F28),1,0),1))</f>
        <v>0</v>
      </c>
      <c r="AR28" s="42" t="n">
        <f aca="false">IF(AN28="",0,IFERROR(IF(OR(INDEX($E$6:$E$55,MATCH(AN28,$A$6:$A$55,0))&gt;$E28,INDEX($F$6:$F$55,MATCH(AN28,$A$6:$A$55,0))&gt;$F28),1,0),1))</f>
        <v>0</v>
      </c>
      <c r="AS28" s="42" t="n">
        <f aca="false">IF(AO28="",0,IFERROR(IF(OR(INDEX($E$6:$E$55,MATCH(AO28,$A$6:$A$55,0))&gt;$E28,INDEX($F$6:$F$55,MATCH(AO28,$A$6:$A$55,0))&gt;$F28),1,0),1))</f>
        <v>0</v>
      </c>
      <c r="AT28" s="42" t="n">
        <f aca="false">IF(AP28="",0,IFERROR(IF(OR(INDEX($E$6:$E$55,MATCH(AP28,$A$6:$A$55,0))&gt;$E28,INDEX($F$6:$F$55,MATCH(AP28,$A$6:$A$55,0))&gt;$F28),1,0),1))</f>
        <v>0</v>
      </c>
    </row>
    <row r="29" customFormat="false" ht="27.75" hidden="false" customHeight="true" outlineLevel="0" collapsed="false">
      <c r="A29" s="31" t="s">
        <v>170</v>
      </c>
      <c r="B29" s="32" t="s">
        <v>171</v>
      </c>
      <c r="C29" s="33" t="s">
        <v>26</v>
      </c>
      <c r="D29" s="32" t="s">
        <v>22</v>
      </c>
      <c r="E29" s="34" t="n">
        <v>5</v>
      </c>
      <c r="F29" s="34" t="n">
        <v>6</v>
      </c>
      <c r="G29" s="35" t="s">
        <v>143</v>
      </c>
      <c r="H29" s="36" t="n">
        <v>400</v>
      </c>
      <c r="I29" s="37" t="s">
        <v>97</v>
      </c>
      <c r="J29" s="32" t="s">
        <v>172</v>
      </c>
      <c r="K29" s="37" t="s">
        <v>99</v>
      </c>
      <c r="L29" s="33" t="s">
        <v>94</v>
      </c>
      <c r="M29" s="38" t="n">
        <f aca="false">F29-E29+1</f>
        <v>2</v>
      </c>
      <c r="N29" s="39" t="n">
        <f aca="false">IF(M29&lt;=0,0,H29/M29)</f>
        <v>200</v>
      </c>
      <c r="O29" s="38" t="n">
        <f aca="false">SUM(AQ29:AT29)+IF(LEN($G29)-LEN(SUBSTITUTE($G29,",",""))&gt;=4,1,0)</f>
        <v>0</v>
      </c>
      <c r="P29" s="40"/>
      <c r="Q29" s="40"/>
      <c r="R29" s="40"/>
      <c r="S29" s="40"/>
      <c r="T29" s="40"/>
      <c r="U29" s="40"/>
      <c r="V29" s="40"/>
      <c r="W29" s="40"/>
      <c r="X29" s="40"/>
      <c r="Y29" s="40"/>
      <c r="Z29" s="40"/>
      <c r="AA29" s="40"/>
      <c r="AB29" s="40"/>
      <c r="AC29" s="40"/>
      <c r="AD29" s="40"/>
      <c r="AE29" s="40"/>
      <c r="AF29" s="40"/>
      <c r="AG29" s="40"/>
      <c r="AH29" s="40"/>
      <c r="AI29" s="40"/>
      <c r="AJ29" s="40"/>
      <c r="AK29" s="40"/>
      <c r="AM29" s="41" t="str">
        <f aca="false">TRIM(MID(SUBSTITUTE($G29&amp;",",",",REPT(" ",99)),1,99))</f>
        <v>C1</v>
      </c>
      <c r="AN29" s="41" t="str">
        <f aca="false">TRIM(MID(SUBSTITUTE($G29&amp;",",",",REPT(" ",99)),100,99))</f>
        <v/>
      </c>
      <c r="AO29" s="41" t="str">
        <f aca="false">TRIM(MID(SUBSTITUTE($G29&amp;",",",",REPT(" ",99)),199,99))</f>
        <v/>
      </c>
      <c r="AP29" s="41" t="str">
        <f aca="false">TRIM(MID(SUBSTITUTE($G29&amp;",",",",REPT(" ",99)),298,99))</f>
        <v/>
      </c>
      <c r="AQ29" s="42" t="n">
        <f aca="false">IF(AM29="",0,IFERROR(IF(OR(INDEX($E$6:$E$55,MATCH(AM29,$A$6:$A$55,0))&gt;$E29,INDEX($F$6:$F$55,MATCH(AM29,$A$6:$A$55,0))&gt;$F29),1,0),1))</f>
        <v>0</v>
      </c>
      <c r="AR29" s="42" t="n">
        <f aca="false">IF(AN29="",0,IFERROR(IF(OR(INDEX($E$6:$E$55,MATCH(AN29,$A$6:$A$55,0))&gt;$E29,INDEX($F$6:$F$55,MATCH(AN29,$A$6:$A$55,0))&gt;$F29),1,0),1))</f>
        <v>0</v>
      </c>
      <c r="AS29" s="42" t="n">
        <f aca="false">IF(AO29="",0,IFERROR(IF(OR(INDEX($E$6:$E$55,MATCH(AO29,$A$6:$A$55,0))&gt;$E29,INDEX($F$6:$F$55,MATCH(AO29,$A$6:$A$55,0))&gt;$F29),1,0),1))</f>
        <v>0</v>
      </c>
      <c r="AT29" s="42" t="n">
        <f aca="false">IF(AP29="",0,IFERROR(IF(OR(INDEX($E$6:$E$55,MATCH(AP29,$A$6:$A$55,0))&gt;$E29,INDEX($F$6:$F$55,MATCH(AP29,$A$6:$A$55,0))&gt;$F29),1,0),1))</f>
        <v>0</v>
      </c>
    </row>
    <row r="30" customFormat="false" ht="54" hidden="false" customHeight="true" outlineLevel="0" collapsed="false">
      <c r="A30" s="31" t="s">
        <v>173</v>
      </c>
      <c r="B30" s="32" t="s">
        <v>174</v>
      </c>
      <c r="C30" s="33" t="s">
        <v>25</v>
      </c>
      <c r="D30" s="32" t="s">
        <v>21</v>
      </c>
      <c r="E30" s="34" t="n">
        <v>7</v>
      </c>
      <c r="F30" s="34" t="n">
        <v>7</v>
      </c>
      <c r="G30" s="35" t="s">
        <v>165</v>
      </c>
      <c r="H30" s="36" t="n">
        <v>0</v>
      </c>
      <c r="I30" s="37" t="s">
        <v>91</v>
      </c>
      <c r="J30" s="32" t="s">
        <v>175</v>
      </c>
      <c r="K30" s="37" t="s">
        <v>93</v>
      </c>
      <c r="L30" s="33" t="s">
        <v>94</v>
      </c>
      <c r="M30" s="38" t="n">
        <f aca="false">F30-E30+1</f>
        <v>1</v>
      </c>
      <c r="N30" s="39" t="n">
        <f aca="false">IF(M30&lt;=0,0,H30/M30)</f>
        <v>0</v>
      </c>
      <c r="O30" s="38" t="n">
        <f aca="false">SUM(AQ30:AT30)+IF(LEN($G30)-LEN(SUBSTITUTE($G30,",",""))&gt;=4,1,0)</f>
        <v>0</v>
      </c>
      <c r="P30" s="40"/>
      <c r="Q30" s="40"/>
      <c r="R30" s="40"/>
      <c r="S30" s="40"/>
      <c r="T30" s="40"/>
      <c r="U30" s="40"/>
      <c r="V30" s="40"/>
      <c r="W30" s="40"/>
      <c r="X30" s="40"/>
      <c r="Y30" s="40"/>
      <c r="Z30" s="40"/>
      <c r="AA30" s="40"/>
      <c r="AB30" s="40"/>
      <c r="AC30" s="40"/>
      <c r="AD30" s="40"/>
      <c r="AE30" s="40"/>
      <c r="AF30" s="40"/>
      <c r="AG30" s="40"/>
      <c r="AH30" s="40"/>
      <c r="AI30" s="40"/>
      <c r="AJ30" s="40"/>
      <c r="AK30" s="40"/>
      <c r="AM30" s="41" t="str">
        <f aca="false">TRIM(MID(SUBSTITUTE($G30&amp;",",",",REPT(" ",99)),1,99))</f>
        <v>D4</v>
      </c>
      <c r="AN30" s="41" t="str">
        <f aca="false">TRIM(MID(SUBSTITUTE($G30&amp;",",",",REPT(" ",99)),100,99))</f>
        <v/>
      </c>
      <c r="AO30" s="41" t="str">
        <f aca="false">TRIM(MID(SUBSTITUTE($G30&amp;",",",",REPT(" ",99)),199,99))</f>
        <v/>
      </c>
      <c r="AP30" s="41" t="str">
        <f aca="false">TRIM(MID(SUBSTITUTE($G30&amp;",",",",REPT(" ",99)),298,99))</f>
        <v/>
      </c>
      <c r="AQ30" s="42" t="n">
        <f aca="false">IF(AM30="",0,IFERROR(IF(OR(INDEX($E$6:$E$55,MATCH(AM30,$A$6:$A$55,0))&gt;$E30,INDEX($F$6:$F$55,MATCH(AM30,$A$6:$A$55,0))&gt;$F30),1,0),1))</f>
        <v>0</v>
      </c>
      <c r="AR30" s="42" t="n">
        <f aca="false">IF(AN30="",0,IFERROR(IF(OR(INDEX($E$6:$E$55,MATCH(AN30,$A$6:$A$55,0))&gt;$E30,INDEX($F$6:$F$55,MATCH(AN30,$A$6:$A$55,0))&gt;$F30),1,0),1))</f>
        <v>0</v>
      </c>
      <c r="AS30" s="42" t="n">
        <f aca="false">IF(AO30="",0,IFERROR(IF(OR(INDEX($E$6:$E$55,MATCH(AO30,$A$6:$A$55,0))&gt;$E30,INDEX($F$6:$F$55,MATCH(AO30,$A$6:$A$55,0))&gt;$F30),1,0),1))</f>
        <v>0</v>
      </c>
      <c r="AT30" s="42" t="n">
        <f aca="false">IF(AP30="",0,IFERROR(IF(OR(INDEX($E$6:$E$55,MATCH(AP30,$A$6:$A$55,0))&gt;$E30,INDEX($F$6:$F$55,MATCH(AP30,$A$6:$A$55,0))&gt;$F30),1,0),1))</f>
        <v>0</v>
      </c>
    </row>
    <row r="31" customFormat="false" ht="54" hidden="false" customHeight="true" outlineLevel="0" collapsed="false">
      <c r="A31" s="31" t="s">
        <v>176</v>
      </c>
      <c r="B31" s="32" t="s">
        <v>177</v>
      </c>
      <c r="C31" s="33" t="s">
        <v>24</v>
      </c>
      <c r="D31" s="32" t="s">
        <v>178</v>
      </c>
      <c r="E31" s="34" t="n">
        <v>8</v>
      </c>
      <c r="F31" s="34" t="n">
        <v>8</v>
      </c>
      <c r="G31" s="35" t="s">
        <v>179</v>
      </c>
      <c r="H31" s="43" t="n">
        <v>9152.75</v>
      </c>
      <c r="I31" s="37" t="s">
        <v>168</v>
      </c>
      <c r="J31" s="32" t="s">
        <v>180</v>
      </c>
      <c r="K31" s="37" t="s">
        <v>93</v>
      </c>
      <c r="L31" s="33" t="s">
        <v>94</v>
      </c>
      <c r="M31" s="38" t="n">
        <f aca="false">F31-E31+1</f>
        <v>1</v>
      </c>
      <c r="N31" s="39" t="n">
        <f aca="false">IF(M31&lt;=0,0,H31/M31)</f>
        <v>9152.75</v>
      </c>
      <c r="O31" s="38" t="n">
        <f aca="false">SUM(AQ31:AT31)+IF(LEN($G31)-LEN(SUBSTITUTE($G31,",",""))&gt;=4,1,0)</f>
        <v>0</v>
      </c>
      <c r="P31" s="40"/>
      <c r="Q31" s="40"/>
      <c r="R31" s="40"/>
      <c r="S31" s="40"/>
      <c r="T31" s="40"/>
      <c r="U31" s="40"/>
      <c r="V31" s="40"/>
      <c r="W31" s="40"/>
      <c r="X31" s="40"/>
      <c r="Y31" s="40"/>
      <c r="Z31" s="40"/>
      <c r="AA31" s="40"/>
      <c r="AB31" s="40"/>
      <c r="AC31" s="40"/>
      <c r="AD31" s="40"/>
      <c r="AE31" s="40"/>
      <c r="AF31" s="40"/>
      <c r="AG31" s="40"/>
      <c r="AH31" s="40"/>
      <c r="AI31" s="40"/>
      <c r="AJ31" s="40"/>
      <c r="AK31" s="40"/>
      <c r="AM31" s="41" t="str">
        <f aca="false">TRIM(MID(SUBSTITUTE($G31&amp;",",",",REPT(" ",99)),1,99))</f>
        <v>B2</v>
      </c>
      <c r="AN31" s="41" t="str">
        <f aca="false">TRIM(MID(SUBSTITUTE($G31&amp;",",",",REPT(" ",99)),100,99))</f>
        <v>D5</v>
      </c>
      <c r="AO31" s="41" t="str">
        <f aca="false">TRIM(MID(SUBSTITUTE($G31&amp;",",",",REPT(" ",99)),199,99))</f>
        <v>D6</v>
      </c>
      <c r="AP31" s="41" t="str">
        <f aca="false">TRIM(MID(SUBSTITUTE($G31&amp;",",",",REPT(" ",99)),298,99))</f>
        <v/>
      </c>
      <c r="AQ31" s="42" t="n">
        <f aca="false">IF(AM31="",0,IFERROR(IF(OR(INDEX($E$6:$E$55,MATCH(AM31,$A$6:$A$55,0))&gt;$E31,INDEX($F$6:$F$55,MATCH(AM31,$A$6:$A$55,0))&gt;$F31),1,0),1))</f>
        <v>0</v>
      </c>
      <c r="AR31" s="42" t="n">
        <f aca="false">IF(AN31="",0,IFERROR(IF(OR(INDEX($E$6:$E$55,MATCH(AN31,$A$6:$A$55,0))&gt;$E31,INDEX($F$6:$F$55,MATCH(AN31,$A$6:$A$55,0))&gt;$F31),1,0),1))</f>
        <v>0</v>
      </c>
      <c r="AS31" s="42" t="n">
        <f aca="false">IF(AO31="",0,IFERROR(IF(OR(INDEX($E$6:$E$55,MATCH(AO31,$A$6:$A$55,0))&gt;$E31,INDEX($F$6:$F$55,MATCH(AO31,$A$6:$A$55,0))&gt;$F31),1,0),1))</f>
        <v>0</v>
      </c>
      <c r="AT31" s="42" t="n">
        <f aca="false">IF(AP31="",0,IFERROR(IF(OR(INDEX($E$6:$E$55,MATCH(AP31,$A$6:$A$55,0))&gt;$E31,INDEX($F$6:$F$55,MATCH(AP31,$A$6:$A$55,0))&gt;$F31),1,0),1))</f>
        <v>0</v>
      </c>
    </row>
    <row r="32" customFormat="false" ht="27.75" hidden="false" customHeight="true" outlineLevel="0" collapsed="false">
      <c r="A32" s="31" t="s">
        <v>181</v>
      </c>
      <c r="B32" s="32" t="s">
        <v>182</v>
      </c>
      <c r="C32" s="33" t="s">
        <v>26</v>
      </c>
      <c r="D32" s="32" t="s">
        <v>22</v>
      </c>
      <c r="E32" s="34" t="n">
        <v>8</v>
      </c>
      <c r="F32" s="34" t="n">
        <v>9</v>
      </c>
      <c r="G32" s="35" t="s">
        <v>176</v>
      </c>
      <c r="H32" s="36" t="n">
        <v>0</v>
      </c>
      <c r="I32" s="37" t="s">
        <v>91</v>
      </c>
      <c r="J32" s="32" t="s">
        <v>183</v>
      </c>
      <c r="K32" s="37" t="s">
        <v>93</v>
      </c>
      <c r="L32" s="33" t="s">
        <v>94</v>
      </c>
      <c r="M32" s="38" t="n">
        <f aca="false">F32-E32+1</f>
        <v>2</v>
      </c>
      <c r="N32" s="39" t="n">
        <f aca="false">IF(M32&lt;=0,0,H32/M32)</f>
        <v>0</v>
      </c>
      <c r="O32" s="38" t="n">
        <f aca="false">SUM(AQ32:AT32)+IF(LEN($G32)-LEN(SUBSTITUTE($G32,",",""))&gt;=4,1,0)</f>
        <v>0</v>
      </c>
      <c r="P32" s="40"/>
      <c r="Q32" s="40"/>
      <c r="R32" s="40"/>
      <c r="S32" s="40"/>
      <c r="T32" s="40"/>
      <c r="U32" s="40"/>
      <c r="V32" s="40"/>
      <c r="W32" s="40"/>
      <c r="X32" s="40"/>
      <c r="Y32" s="40"/>
      <c r="Z32" s="40"/>
      <c r="AA32" s="40"/>
      <c r="AB32" s="40"/>
      <c r="AC32" s="40"/>
      <c r="AD32" s="40"/>
      <c r="AE32" s="40"/>
      <c r="AF32" s="40"/>
      <c r="AG32" s="40"/>
      <c r="AH32" s="40"/>
      <c r="AI32" s="40"/>
      <c r="AJ32" s="40"/>
      <c r="AK32" s="40"/>
      <c r="AM32" s="41" t="str">
        <f aca="false">TRIM(MID(SUBSTITUTE($G32&amp;",",",",REPT(" ",99)),1,99))</f>
        <v>D7</v>
      </c>
      <c r="AN32" s="41" t="str">
        <f aca="false">TRIM(MID(SUBSTITUTE($G32&amp;",",",",REPT(" ",99)),100,99))</f>
        <v/>
      </c>
      <c r="AO32" s="41" t="str">
        <f aca="false">TRIM(MID(SUBSTITUTE($G32&amp;",",",",REPT(" ",99)),199,99))</f>
        <v/>
      </c>
      <c r="AP32" s="41" t="str">
        <f aca="false">TRIM(MID(SUBSTITUTE($G32&amp;",",",",REPT(" ",99)),298,99))</f>
        <v/>
      </c>
      <c r="AQ32" s="42" t="n">
        <f aca="false">IF(AM32="",0,IFERROR(IF(OR(INDEX($E$6:$E$55,MATCH(AM32,$A$6:$A$55,0))&gt;$E32,INDEX($F$6:$F$55,MATCH(AM32,$A$6:$A$55,0))&gt;$F32),1,0),1))</f>
        <v>0</v>
      </c>
      <c r="AR32" s="42" t="n">
        <f aca="false">IF(AN32="",0,IFERROR(IF(OR(INDEX($E$6:$E$55,MATCH(AN32,$A$6:$A$55,0))&gt;$E32,INDEX($F$6:$F$55,MATCH(AN32,$A$6:$A$55,0))&gt;$F32),1,0),1))</f>
        <v>0</v>
      </c>
      <c r="AS32" s="42" t="n">
        <f aca="false">IF(AO32="",0,IFERROR(IF(OR(INDEX($E$6:$E$55,MATCH(AO32,$A$6:$A$55,0))&gt;$E32,INDEX($F$6:$F$55,MATCH(AO32,$A$6:$A$55,0))&gt;$F32),1,0),1))</f>
        <v>0</v>
      </c>
      <c r="AT32" s="42" t="n">
        <f aca="false">IF(AP32="",0,IFERROR(IF(OR(INDEX($E$6:$E$55,MATCH(AP32,$A$6:$A$55,0))&gt;$E32,INDEX($F$6:$F$55,MATCH(AP32,$A$6:$A$55,0))&gt;$F32),1,0),1))</f>
        <v>0</v>
      </c>
    </row>
    <row r="33" customFormat="false" ht="15" hidden="false" customHeight="false" outlineLevel="0" collapsed="false">
      <c r="A33" s="29" t="s">
        <v>184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customFormat="false" ht="27.75" hidden="false" customHeight="true" outlineLevel="0" collapsed="false">
      <c r="A34" s="31" t="s">
        <v>185</v>
      </c>
      <c r="B34" s="32" t="s">
        <v>186</v>
      </c>
      <c r="C34" s="33" t="s">
        <v>22</v>
      </c>
      <c r="D34" s="32" t="s">
        <v>27</v>
      </c>
      <c r="E34" s="34" t="n">
        <v>5</v>
      </c>
      <c r="F34" s="34" t="n">
        <v>7</v>
      </c>
      <c r="G34" s="35" t="s">
        <v>162</v>
      </c>
      <c r="H34" s="36" t="n">
        <v>2300</v>
      </c>
      <c r="I34" s="37" t="s">
        <v>97</v>
      </c>
      <c r="J34" s="32" t="s">
        <v>187</v>
      </c>
      <c r="K34" s="37" t="s">
        <v>99</v>
      </c>
      <c r="L34" s="33" t="s">
        <v>94</v>
      </c>
      <c r="M34" s="38" t="n">
        <f aca="false">F34-E34+1</f>
        <v>3</v>
      </c>
      <c r="N34" s="39" t="n">
        <f aca="false">IF(M34&lt;=0,0,H34/M34)</f>
        <v>766.666666666667</v>
      </c>
      <c r="O34" s="38" t="n">
        <f aca="false">SUM(AQ34:AT34)+IF(LEN($G34)-LEN(SUBSTITUTE($G34,",",""))&gt;=4,1,0)</f>
        <v>0</v>
      </c>
      <c r="P34" s="40"/>
      <c r="Q34" s="40"/>
      <c r="R34" s="40"/>
      <c r="S34" s="40"/>
      <c r="T34" s="40"/>
      <c r="U34" s="40"/>
      <c r="V34" s="40"/>
      <c r="W34" s="40"/>
      <c r="X34" s="40"/>
      <c r="Y34" s="40"/>
      <c r="Z34" s="40"/>
      <c r="AA34" s="40"/>
      <c r="AB34" s="40"/>
      <c r="AC34" s="40"/>
      <c r="AD34" s="40"/>
      <c r="AE34" s="40"/>
      <c r="AF34" s="40"/>
      <c r="AG34" s="40"/>
      <c r="AH34" s="40"/>
      <c r="AI34" s="40"/>
      <c r="AJ34" s="40"/>
      <c r="AK34" s="40"/>
      <c r="AM34" s="41" t="str">
        <f aca="false">TRIM(MID(SUBSTITUTE($G34&amp;",",",",REPT(" ",99)),1,99))</f>
        <v>D3</v>
      </c>
      <c r="AN34" s="41" t="str">
        <f aca="false">TRIM(MID(SUBSTITUTE($G34&amp;",",",",REPT(" ",99)),100,99))</f>
        <v/>
      </c>
      <c r="AO34" s="41" t="str">
        <f aca="false">TRIM(MID(SUBSTITUTE($G34&amp;",",",",REPT(" ",99)),199,99))</f>
        <v/>
      </c>
      <c r="AP34" s="41" t="str">
        <f aca="false">TRIM(MID(SUBSTITUTE($G34&amp;",",",",REPT(" ",99)),298,99))</f>
        <v/>
      </c>
      <c r="AQ34" s="42" t="n">
        <f aca="false">IF(AM34="",0,IFERROR(IF(OR(INDEX($E$6:$E$55,MATCH(AM34,$A$6:$A$55,0))&gt;$E34,INDEX($F$6:$F$55,MATCH(AM34,$A$6:$A$55,0))&gt;$F34),1,0),1))</f>
        <v>0</v>
      </c>
      <c r="AR34" s="42" t="n">
        <f aca="false">IF(AN34="",0,IFERROR(IF(OR(INDEX($E$6:$E$55,MATCH(AN34,$A$6:$A$55,0))&gt;$E34,INDEX($F$6:$F$55,MATCH(AN34,$A$6:$A$55,0))&gt;$F34),1,0),1))</f>
        <v>0</v>
      </c>
      <c r="AS34" s="42" t="n">
        <f aca="false">IF(AO34="",0,IFERROR(IF(OR(INDEX($E$6:$E$55,MATCH(AO34,$A$6:$A$55,0))&gt;$E34,INDEX($F$6:$F$55,MATCH(AO34,$A$6:$A$55,0))&gt;$F34),1,0),1))</f>
        <v>0</v>
      </c>
      <c r="AT34" s="42" t="n">
        <f aca="false">IF(AP34="",0,IFERROR(IF(OR(INDEX($E$6:$E$55,MATCH(AP34,$A$6:$A$55,0))&gt;$E34,INDEX($F$6:$F$55,MATCH(AP34,$A$6:$A$55,0))&gt;$F34),1,0),1))</f>
        <v>0</v>
      </c>
    </row>
    <row r="35" customFormat="false" ht="40.5" hidden="false" customHeight="true" outlineLevel="0" collapsed="false">
      <c r="A35" s="31" t="s">
        <v>188</v>
      </c>
      <c r="B35" s="32" t="s">
        <v>189</v>
      </c>
      <c r="C35" s="33" t="s">
        <v>27</v>
      </c>
      <c r="D35" s="32" t="s">
        <v>22</v>
      </c>
      <c r="E35" s="34" t="n">
        <v>6</v>
      </c>
      <c r="F35" s="34" t="n">
        <v>7</v>
      </c>
      <c r="G35" s="35" t="s">
        <v>147</v>
      </c>
      <c r="H35" s="36" t="n">
        <v>500</v>
      </c>
      <c r="I35" s="37" t="s">
        <v>97</v>
      </c>
      <c r="J35" s="32" t="s">
        <v>190</v>
      </c>
      <c r="K35" s="37" t="s">
        <v>99</v>
      </c>
      <c r="L35" s="33" t="s">
        <v>94</v>
      </c>
      <c r="M35" s="38" t="n">
        <f aca="false">F35-E35+1</f>
        <v>2</v>
      </c>
      <c r="N35" s="39" t="n">
        <f aca="false">IF(M35&lt;=0,0,H35/M35)</f>
        <v>250</v>
      </c>
      <c r="O35" s="38" t="n">
        <f aca="false">SUM(AQ35:AT35)+IF(LEN($G35)-LEN(SUBSTITUTE($G35,",",""))&gt;=4,1,0)</f>
        <v>0</v>
      </c>
      <c r="P35" s="40"/>
      <c r="Q35" s="40"/>
      <c r="R35" s="40"/>
      <c r="S35" s="40"/>
      <c r="T35" s="40"/>
      <c r="U35" s="40"/>
      <c r="V35" s="40"/>
      <c r="W35" s="40"/>
      <c r="X35" s="40"/>
      <c r="Y35" s="40"/>
      <c r="Z35" s="40"/>
      <c r="AA35" s="40"/>
      <c r="AB35" s="40"/>
      <c r="AC35" s="40"/>
      <c r="AD35" s="40"/>
      <c r="AE35" s="40"/>
      <c r="AF35" s="40"/>
      <c r="AG35" s="40"/>
      <c r="AH35" s="40"/>
      <c r="AI35" s="40"/>
      <c r="AJ35" s="40"/>
      <c r="AK35" s="40"/>
      <c r="AM35" s="41" t="str">
        <f aca="false">TRIM(MID(SUBSTITUTE($G35&amp;",",",",REPT(" ",99)),1,99))</f>
        <v>C2</v>
      </c>
      <c r="AN35" s="41" t="str">
        <f aca="false">TRIM(MID(SUBSTITUTE($G35&amp;",",",",REPT(" ",99)),100,99))</f>
        <v/>
      </c>
      <c r="AO35" s="41" t="str">
        <f aca="false">TRIM(MID(SUBSTITUTE($G35&amp;",",",",REPT(" ",99)),199,99))</f>
        <v/>
      </c>
      <c r="AP35" s="41" t="str">
        <f aca="false">TRIM(MID(SUBSTITUTE($G35&amp;",",",",REPT(" ",99)),298,99))</f>
        <v/>
      </c>
      <c r="AQ35" s="42" t="n">
        <f aca="false">IF(AM35="",0,IFERROR(IF(OR(INDEX($E$6:$E$55,MATCH(AM35,$A$6:$A$55,0))&gt;$E35,INDEX($F$6:$F$55,MATCH(AM35,$A$6:$A$55,0))&gt;$F35),1,0),1))</f>
        <v>0</v>
      </c>
      <c r="AR35" s="42" t="n">
        <f aca="false">IF(AN35="",0,IFERROR(IF(OR(INDEX($E$6:$E$55,MATCH(AN35,$A$6:$A$55,0))&gt;$E35,INDEX($F$6:$F$55,MATCH(AN35,$A$6:$A$55,0))&gt;$F35),1,0),1))</f>
        <v>0</v>
      </c>
      <c r="AS35" s="42" t="n">
        <f aca="false">IF(AO35="",0,IFERROR(IF(OR(INDEX($E$6:$E$55,MATCH(AO35,$A$6:$A$55,0))&gt;$E35,INDEX($F$6:$F$55,MATCH(AO35,$A$6:$A$55,0))&gt;$F35),1,0),1))</f>
        <v>0</v>
      </c>
      <c r="AT35" s="42" t="n">
        <f aca="false">IF(AP35="",0,IFERROR(IF(OR(INDEX($E$6:$E$55,MATCH(AP35,$A$6:$A$55,0))&gt;$E35,INDEX($F$6:$F$55,MATCH(AP35,$A$6:$A$55,0))&gt;$F35),1,0),1))</f>
        <v>0</v>
      </c>
    </row>
    <row r="36" customFormat="false" ht="27.75" hidden="false" customHeight="true" outlineLevel="0" collapsed="false">
      <c r="A36" s="31" t="s">
        <v>191</v>
      </c>
      <c r="B36" s="32" t="s">
        <v>192</v>
      </c>
      <c r="C36" s="33" t="s">
        <v>27</v>
      </c>
      <c r="D36" s="32" t="s">
        <v>22</v>
      </c>
      <c r="E36" s="34" t="n">
        <v>7</v>
      </c>
      <c r="F36" s="34" t="n">
        <v>9</v>
      </c>
      <c r="G36" s="35" t="s">
        <v>193</v>
      </c>
      <c r="H36" s="36" t="n">
        <v>300</v>
      </c>
      <c r="I36" s="37" t="s">
        <v>97</v>
      </c>
      <c r="J36" s="32" t="s">
        <v>194</v>
      </c>
      <c r="K36" s="37" t="s">
        <v>99</v>
      </c>
      <c r="L36" s="33" t="s">
        <v>94</v>
      </c>
      <c r="M36" s="38" t="n">
        <f aca="false">F36-E36+1</f>
        <v>3</v>
      </c>
      <c r="N36" s="39" t="n">
        <f aca="false">IF(M36&lt;=0,0,H36/M36)</f>
        <v>100</v>
      </c>
      <c r="O36" s="38" t="n">
        <f aca="false">SUM(AQ36:AT36)+IF(LEN($G36)-LEN(SUBSTITUTE($G36,",",""))&gt;=4,1,0)</f>
        <v>0</v>
      </c>
      <c r="P36" s="40"/>
      <c r="Q36" s="40"/>
      <c r="R36" s="40"/>
      <c r="S36" s="40"/>
      <c r="T36" s="40"/>
      <c r="U36" s="40"/>
      <c r="V36" s="40"/>
      <c r="W36" s="40"/>
      <c r="X36" s="40"/>
      <c r="Y36" s="40"/>
      <c r="Z36" s="40"/>
      <c r="AA36" s="40"/>
      <c r="AB36" s="40"/>
      <c r="AC36" s="40"/>
      <c r="AD36" s="40"/>
      <c r="AE36" s="40"/>
      <c r="AF36" s="40"/>
      <c r="AG36" s="40"/>
      <c r="AH36" s="40"/>
      <c r="AI36" s="40"/>
      <c r="AJ36" s="40"/>
      <c r="AK36" s="40"/>
      <c r="AM36" s="41" t="str">
        <f aca="false">TRIM(MID(SUBSTITUTE($G36&amp;",",",",REPT(" ",99)),1,99))</f>
        <v>C2</v>
      </c>
      <c r="AN36" s="41" t="str">
        <f aca="false">TRIM(MID(SUBSTITUTE($G36&amp;",",",",REPT(" ",99)),100,99))</f>
        <v>E1</v>
      </c>
      <c r="AO36" s="41" t="str">
        <f aca="false">TRIM(MID(SUBSTITUTE($G36&amp;",",",",REPT(" ",99)),199,99))</f>
        <v>E2</v>
      </c>
      <c r="AP36" s="41" t="str">
        <f aca="false">TRIM(MID(SUBSTITUTE($G36&amp;",",",",REPT(" ",99)),298,99))</f>
        <v/>
      </c>
      <c r="AQ36" s="42" t="n">
        <f aca="false">IF(AM36="",0,IFERROR(IF(OR(INDEX($E$6:$E$55,MATCH(AM36,$A$6:$A$55,0))&gt;$E36,INDEX($F$6:$F$55,MATCH(AM36,$A$6:$A$55,0))&gt;$F36),1,0),1))</f>
        <v>0</v>
      </c>
      <c r="AR36" s="42" t="n">
        <f aca="false">IF(AN36="",0,IFERROR(IF(OR(INDEX($E$6:$E$55,MATCH(AN36,$A$6:$A$55,0))&gt;$E36,INDEX($F$6:$F$55,MATCH(AN36,$A$6:$A$55,0))&gt;$F36),1,0),1))</f>
        <v>0</v>
      </c>
      <c r="AS36" s="42" t="n">
        <f aca="false">IF(AO36="",0,IFERROR(IF(OR(INDEX($E$6:$E$55,MATCH(AO36,$A$6:$A$55,0))&gt;$E36,INDEX($F$6:$F$55,MATCH(AO36,$A$6:$A$55,0))&gt;$F36),1,0),1))</f>
        <v>0</v>
      </c>
      <c r="AT36" s="42" t="n">
        <f aca="false">IF(AP36="",0,IFERROR(IF(OR(INDEX($E$6:$E$55,MATCH(AP36,$A$6:$A$55,0))&gt;$E36,INDEX($F$6:$F$55,MATCH(AP36,$A$6:$A$55,0))&gt;$F36),1,0),1))</f>
        <v>0</v>
      </c>
    </row>
    <row r="37" customFormat="false" ht="40.5" hidden="false" customHeight="true" outlineLevel="0" collapsed="false">
      <c r="A37" s="31" t="s">
        <v>195</v>
      </c>
      <c r="B37" s="32" t="s">
        <v>196</v>
      </c>
      <c r="C37" s="33" t="s">
        <v>22</v>
      </c>
      <c r="D37" s="32" t="s">
        <v>27</v>
      </c>
      <c r="E37" s="34" t="n">
        <v>8</v>
      </c>
      <c r="F37" s="34" t="n">
        <v>9</v>
      </c>
      <c r="G37" s="35" t="s">
        <v>188</v>
      </c>
      <c r="H37" s="36" t="n">
        <v>150</v>
      </c>
      <c r="I37" s="37" t="s">
        <v>97</v>
      </c>
      <c r="J37" s="32" t="s">
        <v>197</v>
      </c>
      <c r="K37" s="37" t="s">
        <v>99</v>
      </c>
      <c r="L37" s="33" t="s">
        <v>94</v>
      </c>
      <c r="M37" s="38" t="n">
        <f aca="false">F37-E37+1</f>
        <v>2</v>
      </c>
      <c r="N37" s="39" t="n">
        <f aca="false">IF(M37&lt;=0,0,H37/M37)</f>
        <v>75</v>
      </c>
      <c r="O37" s="38" t="n">
        <f aca="false">SUM(AQ37:AT37)+IF(LEN($G37)-LEN(SUBSTITUTE($G37,",",""))&gt;=4,1,0)</f>
        <v>0</v>
      </c>
      <c r="P37" s="40"/>
      <c r="Q37" s="40"/>
      <c r="R37" s="40"/>
      <c r="S37" s="40"/>
      <c r="T37" s="40"/>
      <c r="U37" s="40"/>
      <c r="V37" s="40"/>
      <c r="W37" s="40"/>
      <c r="X37" s="40"/>
      <c r="Y37" s="40"/>
      <c r="Z37" s="40"/>
      <c r="AA37" s="40"/>
      <c r="AB37" s="40"/>
      <c r="AC37" s="40"/>
      <c r="AD37" s="40"/>
      <c r="AE37" s="40"/>
      <c r="AF37" s="40"/>
      <c r="AG37" s="40"/>
      <c r="AH37" s="40"/>
      <c r="AI37" s="40"/>
      <c r="AJ37" s="40"/>
      <c r="AK37" s="40"/>
      <c r="AM37" s="41" t="str">
        <f aca="false">TRIM(MID(SUBSTITUTE($G37&amp;",",",",REPT(" ",99)),1,99))</f>
        <v>E2</v>
      </c>
      <c r="AN37" s="41" t="str">
        <f aca="false">TRIM(MID(SUBSTITUTE($G37&amp;",",",",REPT(" ",99)),100,99))</f>
        <v/>
      </c>
      <c r="AO37" s="41" t="str">
        <f aca="false">TRIM(MID(SUBSTITUTE($G37&amp;",",",",REPT(" ",99)),199,99))</f>
        <v/>
      </c>
      <c r="AP37" s="41" t="str">
        <f aca="false">TRIM(MID(SUBSTITUTE($G37&amp;",",",",REPT(" ",99)),298,99))</f>
        <v/>
      </c>
      <c r="AQ37" s="42" t="n">
        <f aca="false">IF(AM37="",0,IFERROR(IF(OR(INDEX($E$6:$E$55,MATCH(AM37,$A$6:$A$55,0))&gt;$E37,INDEX($F$6:$F$55,MATCH(AM37,$A$6:$A$55,0))&gt;$F37),1,0),1))</f>
        <v>0</v>
      </c>
      <c r="AR37" s="42" t="n">
        <f aca="false">IF(AN37="",0,IFERROR(IF(OR(INDEX($E$6:$E$55,MATCH(AN37,$A$6:$A$55,0))&gt;$E37,INDEX($F$6:$F$55,MATCH(AN37,$A$6:$A$55,0))&gt;$F37),1,0),1))</f>
        <v>0</v>
      </c>
      <c r="AS37" s="42" t="n">
        <f aca="false">IF(AO37="",0,IFERROR(IF(OR(INDEX($E$6:$E$55,MATCH(AO37,$A$6:$A$55,0))&gt;$E37,INDEX($F$6:$F$55,MATCH(AO37,$A$6:$A$55,0))&gt;$F37),1,0),1))</f>
        <v>0</v>
      </c>
      <c r="AT37" s="42" t="n">
        <f aca="false">IF(AP37="",0,IFERROR(IF(OR(INDEX($E$6:$E$55,MATCH(AP37,$A$6:$A$55,0))&gt;$E37,INDEX($F$6:$F$55,MATCH(AP37,$A$6:$A$55,0))&gt;$F37),1,0),1))</f>
        <v>0</v>
      </c>
    </row>
    <row r="38" customFormat="false" ht="27.75" hidden="false" customHeight="true" outlineLevel="0" collapsed="false">
      <c r="A38" s="31" t="s">
        <v>198</v>
      </c>
      <c r="B38" s="32" t="s">
        <v>199</v>
      </c>
      <c r="C38" s="33" t="s">
        <v>22</v>
      </c>
      <c r="D38" s="32" t="s">
        <v>27</v>
      </c>
      <c r="E38" s="34" t="n">
        <v>8</v>
      </c>
      <c r="F38" s="34" t="n">
        <v>10</v>
      </c>
      <c r="G38" s="35" t="s">
        <v>185</v>
      </c>
      <c r="H38" s="36" t="n">
        <v>250</v>
      </c>
      <c r="I38" s="37" t="s">
        <v>97</v>
      </c>
      <c r="J38" s="32" t="s">
        <v>200</v>
      </c>
      <c r="K38" s="37" t="s">
        <v>99</v>
      </c>
      <c r="L38" s="33" t="s">
        <v>94</v>
      </c>
      <c r="M38" s="38" t="n">
        <f aca="false">F38-E38+1</f>
        <v>3</v>
      </c>
      <c r="N38" s="39" t="n">
        <f aca="false">IF(M38&lt;=0,0,H38/M38)</f>
        <v>83.3333333333333</v>
      </c>
      <c r="O38" s="38" t="n">
        <f aca="false">SUM(AQ38:AT38)+IF(LEN($G38)-LEN(SUBSTITUTE($G38,",",""))&gt;=4,1,0)</f>
        <v>0</v>
      </c>
      <c r="P38" s="40"/>
      <c r="Q38" s="40"/>
      <c r="R38" s="40"/>
      <c r="S38" s="40"/>
      <c r="T38" s="40"/>
      <c r="U38" s="40"/>
      <c r="V38" s="40"/>
      <c r="W38" s="40"/>
      <c r="X38" s="40"/>
      <c r="Y38" s="40"/>
      <c r="Z38" s="40"/>
      <c r="AA38" s="40"/>
      <c r="AB38" s="40"/>
      <c r="AC38" s="40"/>
      <c r="AD38" s="40"/>
      <c r="AE38" s="40"/>
      <c r="AF38" s="40"/>
      <c r="AG38" s="40"/>
      <c r="AH38" s="40"/>
      <c r="AI38" s="40"/>
      <c r="AJ38" s="40"/>
      <c r="AK38" s="40"/>
      <c r="AM38" s="41" t="str">
        <f aca="false">TRIM(MID(SUBSTITUTE($G38&amp;",",",",REPT(" ",99)),1,99))</f>
        <v>E1</v>
      </c>
      <c r="AN38" s="41" t="str">
        <f aca="false">TRIM(MID(SUBSTITUTE($G38&amp;",",",",REPT(" ",99)),100,99))</f>
        <v/>
      </c>
      <c r="AO38" s="41" t="str">
        <f aca="false">TRIM(MID(SUBSTITUTE($G38&amp;",",",",REPT(" ",99)),199,99))</f>
        <v/>
      </c>
      <c r="AP38" s="41" t="str">
        <f aca="false">TRIM(MID(SUBSTITUTE($G38&amp;",",",",REPT(" ",99)),298,99))</f>
        <v/>
      </c>
      <c r="AQ38" s="42" t="n">
        <f aca="false">IF(AM38="",0,IFERROR(IF(OR(INDEX($E$6:$E$55,MATCH(AM38,$A$6:$A$55,0))&gt;$E38,INDEX($F$6:$F$55,MATCH(AM38,$A$6:$A$55,0))&gt;$F38),1,0),1))</f>
        <v>0</v>
      </c>
      <c r="AR38" s="42" t="n">
        <f aca="false">IF(AN38="",0,IFERROR(IF(OR(INDEX($E$6:$E$55,MATCH(AN38,$A$6:$A$55,0))&gt;$E38,INDEX($F$6:$F$55,MATCH(AN38,$A$6:$A$55,0))&gt;$F38),1,0),1))</f>
        <v>0</v>
      </c>
      <c r="AS38" s="42" t="n">
        <f aca="false">IF(AO38="",0,IFERROR(IF(OR(INDEX($E$6:$E$55,MATCH(AO38,$A$6:$A$55,0))&gt;$E38,INDEX($F$6:$F$55,MATCH(AO38,$A$6:$A$55,0))&gt;$F38),1,0),1))</f>
        <v>0</v>
      </c>
      <c r="AT38" s="42" t="n">
        <f aca="false">IF(AP38="",0,IFERROR(IF(OR(INDEX($E$6:$E$55,MATCH(AP38,$A$6:$A$55,0))&gt;$E38,INDEX($F$6:$F$55,MATCH(AP38,$A$6:$A$55,0))&gt;$F38),1,0),1))</f>
        <v>0</v>
      </c>
    </row>
    <row r="39" customFormat="false" ht="27.75" hidden="false" customHeight="true" outlineLevel="0" collapsed="false">
      <c r="A39" s="31" t="s">
        <v>201</v>
      </c>
      <c r="B39" s="32" t="s">
        <v>202</v>
      </c>
      <c r="C39" s="33" t="s">
        <v>22</v>
      </c>
      <c r="D39" s="32" t="s">
        <v>21</v>
      </c>
      <c r="E39" s="34" t="n">
        <v>9</v>
      </c>
      <c r="F39" s="34" t="n">
        <v>10</v>
      </c>
      <c r="G39" s="35" t="s">
        <v>203</v>
      </c>
      <c r="H39" s="36" t="n">
        <v>0</v>
      </c>
      <c r="I39" s="37" t="s">
        <v>91</v>
      </c>
      <c r="J39" s="32" t="s">
        <v>204</v>
      </c>
      <c r="K39" s="37" t="s">
        <v>93</v>
      </c>
      <c r="L39" s="33" t="s">
        <v>94</v>
      </c>
      <c r="M39" s="38" t="n">
        <f aca="false">F39-E39+1</f>
        <v>2</v>
      </c>
      <c r="N39" s="39" t="n">
        <f aca="false">IF(M39&lt;=0,0,H39/M39)</f>
        <v>0</v>
      </c>
      <c r="O39" s="38" t="n">
        <f aca="false">SUM(AQ39:AT39)+IF(LEN($G39)-LEN(SUBSTITUTE($G39,",",""))&gt;=4,1,0)</f>
        <v>0</v>
      </c>
      <c r="P39" s="40"/>
      <c r="Q39" s="40"/>
      <c r="R39" s="40"/>
      <c r="S39" s="40"/>
      <c r="T39" s="40"/>
      <c r="U39" s="40"/>
      <c r="V39" s="40"/>
      <c r="W39" s="40"/>
      <c r="X39" s="40"/>
      <c r="Y39" s="40"/>
      <c r="Z39" s="40"/>
      <c r="AA39" s="40"/>
      <c r="AB39" s="40"/>
      <c r="AC39" s="40"/>
      <c r="AD39" s="40"/>
      <c r="AE39" s="40"/>
      <c r="AF39" s="40"/>
      <c r="AG39" s="40"/>
      <c r="AH39" s="40"/>
      <c r="AI39" s="40"/>
      <c r="AJ39" s="40"/>
      <c r="AK39" s="40"/>
      <c r="AM39" s="41" t="str">
        <f aca="false">TRIM(MID(SUBSTITUTE($G39&amp;",",",",REPT(" ",99)),1,99))</f>
        <v>D8</v>
      </c>
      <c r="AN39" s="41" t="str">
        <f aca="false">TRIM(MID(SUBSTITUTE($G39&amp;",",",",REPT(" ",99)),100,99))</f>
        <v>E3</v>
      </c>
      <c r="AO39" s="41" t="str">
        <f aca="false">TRIM(MID(SUBSTITUTE($G39&amp;",",",",REPT(" ",99)),199,99))</f>
        <v>E4</v>
      </c>
      <c r="AP39" s="41" t="str">
        <f aca="false">TRIM(MID(SUBSTITUTE($G39&amp;",",",",REPT(" ",99)),298,99))</f>
        <v/>
      </c>
      <c r="AQ39" s="42" t="n">
        <f aca="false">IF(AM39="",0,IFERROR(IF(OR(INDEX($E$6:$E$55,MATCH(AM39,$A$6:$A$55,0))&gt;$E39,INDEX($F$6:$F$55,MATCH(AM39,$A$6:$A$55,0))&gt;$F39),1,0),1))</f>
        <v>0</v>
      </c>
      <c r="AR39" s="42" t="n">
        <f aca="false">IF(AN39="",0,IFERROR(IF(OR(INDEX($E$6:$E$55,MATCH(AN39,$A$6:$A$55,0))&gt;$E39,INDEX($F$6:$F$55,MATCH(AN39,$A$6:$A$55,0))&gt;$F39),1,0),1))</f>
        <v>0</v>
      </c>
      <c r="AS39" s="42" t="n">
        <f aca="false">IF(AO39="",0,IFERROR(IF(OR(INDEX($E$6:$E$55,MATCH(AO39,$A$6:$A$55,0))&gt;$E39,INDEX($F$6:$F$55,MATCH(AO39,$A$6:$A$55,0))&gt;$F39),1,0),1))</f>
        <v>0</v>
      </c>
      <c r="AT39" s="42" t="n">
        <f aca="false">IF(AP39="",0,IFERROR(IF(OR(INDEX($E$6:$E$55,MATCH(AP39,$A$6:$A$55,0))&gt;$E39,INDEX($F$6:$F$55,MATCH(AP39,$A$6:$A$55,0))&gt;$F39),1,0),1))</f>
        <v>0</v>
      </c>
    </row>
    <row r="40" customFormat="false" ht="15" hidden="false" customHeight="false" outlineLevel="0" collapsed="false">
      <c r="A40" s="29" t="s">
        <v>205</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customFormat="false" ht="40.5" hidden="false" customHeight="true" outlineLevel="0" collapsed="false">
      <c r="A41" s="31" t="s">
        <v>206</v>
      </c>
      <c r="B41" s="32" t="s">
        <v>207</v>
      </c>
      <c r="C41" s="33" t="s">
        <v>22</v>
      </c>
      <c r="D41" s="32" t="s">
        <v>208</v>
      </c>
      <c r="E41" s="34" t="n">
        <v>10</v>
      </c>
      <c r="F41" s="34" t="n">
        <v>13</v>
      </c>
      <c r="G41" s="35" t="s">
        <v>201</v>
      </c>
      <c r="H41" s="36" t="n">
        <v>0</v>
      </c>
      <c r="I41" s="37" t="s">
        <v>91</v>
      </c>
      <c r="J41" s="32" t="s">
        <v>209</v>
      </c>
      <c r="K41" s="37" t="s">
        <v>93</v>
      </c>
      <c r="L41" s="33" t="s">
        <v>94</v>
      </c>
      <c r="M41" s="38" t="n">
        <f aca="false">F41-E41+1</f>
        <v>4</v>
      </c>
      <c r="N41" s="39" t="n">
        <f aca="false">IF(M41&lt;=0,0,H41/M41)</f>
        <v>0</v>
      </c>
      <c r="O41" s="38" t="n">
        <f aca="false">SUM(AQ41:AT41)+IF(LEN($G41)-LEN(SUBSTITUTE($G41,",",""))&gt;=4,1,0)</f>
        <v>0</v>
      </c>
      <c r="P41" s="40"/>
      <c r="Q41" s="40"/>
      <c r="R41" s="40"/>
      <c r="S41" s="40"/>
      <c r="T41" s="40"/>
      <c r="U41" s="40"/>
      <c r="V41" s="40"/>
      <c r="W41" s="40"/>
      <c r="X41" s="40"/>
      <c r="Y41" s="40"/>
      <c r="Z41" s="40"/>
      <c r="AA41" s="40"/>
      <c r="AB41" s="40"/>
      <c r="AC41" s="40"/>
      <c r="AD41" s="40"/>
      <c r="AE41" s="40"/>
      <c r="AF41" s="40"/>
      <c r="AG41" s="40"/>
      <c r="AH41" s="40"/>
      <c r="AI41" s="40"/>
      <c r="AJ41" s="40"/>
      <c r="AK41" s="40"/>
      <c r="AM41" s="41" t="str">
        <f aca="false">TRIM(MID(SUBSTITUTE($G41&amp;",",",",REPT(" ",99)),1,99))</f>
        <v>E6</v>
      </c>
      <c r="AN41" s="41" t="str">
        <f aca="false">TRIM(MID(SUBSTITUTE($G41&amp;",",",",REPT(" ",99)),100,99))</f>
        <v/>
      </c>
      <c r="AO41" s="41" t="str">
        <f aca="false">TRIM(MID(SUBSTITUTE($G41&amp;",",",",REPT(" ",99)),199,99))</f>
        <v/>
      </c>
      <c r="AP41" s="41" t="str">
        <f aca="false">TRIM(MID(SUBSTITUTE($G41&amp;",",",",REPT(" ",99)),298,99))</f>
        <v/>
      </c>
      <c r="AQ41" s="42" t="n">
        <f aca="false">IF(AM41="",0,IFERROR(IF(OR(INDEX($E$6:$E$55,MATCH(AM41,$A$6:$A$55,0))&gt;$E41,INDEX($F$6:$F$55,MATCH(AM41,$A$6:$A$55,0))&gt;$F41),1,0),1))</f>
        <v>0</v>
      </c>
      <c r="AR41" s="42" t="n">
        <f aca="false">IF(AN41="",0,IFERROR(IF(OR(INDEX($E$6:$E$55,MATCH(AN41,$A$6:$A$55,0))&gt;$E41,INDEX($F$6:$F$55,MATCH(AN41,$A$6:$A$55,0))&gt;$F41),1,0),1))</f>
        <v>0</v>
      </c>
      <c r="AS41" s="42" t="n">
        <f aca="false">IF(AO41="",0,IFERROR(IF(OR(INDEX($E$6:$E$55,MATCH(AO41,$A$6:$A$55,0))&gt;$E41,INDEX($F$6:$F$55,MATCH(AO41,$A$6:$A$55,0))&gt;$F41),1,0),1))</f>
        <v>0</v>
      </c>
      <c r="AT41" s="42" t="n">
        <f aca="false">IF(AP41="",0,IFERROR(IF(OR(INDEX($E$6:$E$55,MATCH(AP41,$A$6:$A$55,0))&gt;$E41,INDEX($F$6:$F$55,MATCH(AP41,$A$6:$A$55,0))&gt;$F41),1,0),1))</f>
        <v>0</v>
      </c>
    </row>
    <row r="42" customFormat="false" ht="40.5" hidden="false" customHeight="true" outlineLevel="0" collapsed="false">
      <c r="A42" s="31" t="s">
        <v>210</v>
      </c>
      <c r="B42" s="32" t="s">
        <v>211</v>
      </c>
      <c r="C42" s="33" t="s">
        <v>21</v>
      </c>
      <c r="D42" s="32"/>
      <c r="E42" s="34" t="n">
        <v>10</v>
      </c>
      <c r="F42" s="34" t="n">
        <v>22</v>
      </c>
      <c r="G42" s="35" t="s">
        <v>143</v>
      </c>
      <c r="H42" s="43" t="n">
        <v>2669.97</v>
      </c>
      <c r="I42" s="37" t="s">
        <v>212</v>
      </c>
      <c r="J42" s="32" t="s">
        <v>213</v>
      </c>
      <c r="K42" s="37" t="s">
        <v>93</v>
      </c>
      <c r="L42" s="33" t="s">
        <v>94</v>
      </c>
      <c r="M42" s="38" t="n">
        <f aca="false">F42-E42+1</f>
        <v>13</v>
      </c>
      <c r="N42" s="39" t="n">
        <f aca="false">IF(M42&lt;=0,0,H42/M42)</f>
        <v>205.382307692308</v>
      </c>
      <c r="O42" s="38" t="n">
        <f aca="false">SUM(AQ42:AT42)+IF(LEN($G42)-LEN(SUBSTITUTE($G42,",",""))&gt;=4,1,0)</f>
        <v>0</v>
      </c>
      <c r="P42" s="40"/>
      <c r="Q42" s="40"/>
      <c r="R42" s="40"/>
      <c r="S42" s="40"/>
      <c r="T42" s="40"/>
      <c r="U42" s="40"/>
      <c r="V42" s="40"/>
      <c r="W42" s="40"/>
      <c r="X42" s="40"/>
      <c r="Y42" s="40"/>
      <c r="Z42" s="40"/>
      <c r="AA42" s="40"/>
      <c r="AB42" s="40"/>
      <c r="AC42" s="40"/>
      <c r="AD42" s="40"/>
      <c r="AE42" s="40"/>
      <c r="AF42" s="40"/>
      <c r="AG42" s="40"/>
      <c r="AH42" s="40"/>
      <c r="AI42" s="40"/>
      <c r="AJ42" s="40"/>
      <c r="AK42" s="40"/>
      <c r="AM42" s="41" t="str">
        <f aca="false">TRIM(MID(SUBSTITUTE($G42&amp;",",",",REPT(" ",99)),1,99))</f>
        <v>C1</v>
      </c>
      <c r="AN42" s="41" t="str">
        <f aca="false">TRIM(MID(SUBSTITUTE($G42&amp;",",",",REPT(" ",99)),100,99))</f>
        <v/>
      </c>
      <c r="AO42" s="41" t="str">
        <f aca="false">TRIM(MID(SUBSTITUTE($G42&amp;",",",",REPT(" ",99)),199,99))</f>
        <v/>
      </c>
      <c r="AP42" s="41" t="str">
        <f aca="false">TRIM(MID(SUBSTITUTE($G42&amp;",",",",REPT(" ",99)),298,99))</f>
        <v/>
      </c>
      <c r="AQ42" s="42" t="n">
        <f aca="false">IF(AM42="",0,IFERROR(IF(OR(INDEX($E$6:$E$55,MATCH(AM42,$A$6:$A$55,0))&gt;$E42,INDEX($F$6:$F$55,MATCH(AM42,$A$6:$A$55,0))&gt;$F42),1,0),1))</f>
        <v>0</v>
      </c>
      <c r="AR42" s="42" t="n">
        <f aca="false">IF(AN42="",0,IFERROR(IF(OR(INDEX($E$6:$E$55,MATCH(AN42,$A$6:$A$55,0))&gt;$E42,INDEX($F$6:$F$55,MATCH(AN42,$A$6:$A$55,0))&gt;$F42),1,0),1))</f>
        <v>0</v>
      </c>
      <c r="AS42" s="42" t="n">
        <f aca="false">IF(AO42="",0,IFERROR(IF(OR(INDEX($E$6:$E$55,MATCH(AO42,$A$6:$A$55,0))&gt;$E42,INDEX($F$6:$F$55,MATCH(AO42,$A$6:$A$55,0))&gt;$F42),1,0),1))</f>
        <v>0</v>
      </c>
      <c r="AT42" s="42" t="n">
        <f aca="false">IF(AP42="",0,IFERROR(IF(OR(INDEX($E$6:$E$55,MATCH(AP42,$A$6:$A$55,0))&gt;$E42,INDEX($F$6:$F$55,MATCH(AP42,$A$6:$A$55,0))&gt;$F42),1,0),1))</f>
        <v>0</v>
      </c>
    </row>
    <row r="43" customFormat="false" ht="40.5" hidden="false" customHeight="true" outlineLevel="0" collapsed="false">
      <c r="A43" s="31" t="s">
        <v>214</v>
      </c>
      <c r="B43" s="32" t="s">
        <v>215</v>
      </c>
      <c r="C43" s="33" t="s">
        <v>21</v>
      </c>
      <c r="D43" s="32" t="s">
        <v>25</v>
      </c>
      <c r="E43" s="34" t="n">
        <v>10</v>
      </c>
      <c r="F43" s="34" t="n">
        <v>12</v>
      </c>
      <c r="G43" s="35" t="s">
        <v>216</v>
      </c>
      <c r="H43" s="43" t="n">
        <v>4292.29</v>
      </c>
      <c r="I43" s="37" t="s">
        <v>168</v>
      </c>
      <c r="J43" s="32" t="s">
        <v>217</v>
      </c>
      <c r="K43" s="37" t="s">
        <v>93</v>
      </c>
      <c r="L43" s="33" t="s">
        <v>94</v>
      </c>
      <c r="M43" s="38" t="n">
        <f aca="false">F43-E43+1</f>
        <v>3</v>
      </c>
      <c r="N43" s="39" t="n">
        <f aca="false">IF(M43&lt;=0,0,H43/M43)</f>
        <v>1430.76333333333</v>
      </c>
      <c r="O43" s="38" t="n">
        <f aca="false">SUM(AQ43:AT43)+IF(LEN($G43)-LEN(SUBSTITUTE($G43,",",""))&gt;=4,1,0)</f>
        <v>0</v>
      </c>
      <c r="P43" s="40"/>
      <c r="Q43" s="40"/>
      <c r="R43" s="40"/>
      <c r="S43" s="40"/>
      <c r="T43" s="40"/>
      <c r="U43" s="40"/>
      <c r="V43" s="40"/>
      <c r="W43" s="40"/>
      <c r="X43" s="40"/>
      <c r="Y43" s="40"/>
      <c r="Z43" s="40"/>
      <c r="AA43" s="40"/>
      <c r="AB43" s="40"/>
      <c r="AC43" s="40"/>
      <c r="AD43" s="40"/>
      <c r="AE43" s="40"/>
      <c r="AF43" s="40"/>
      <c r="AG43" s="40"/>
      <c r="AH43" s="40"/>
      <c r="AI43" s="40"/>
      <c r="AJ43" s="40"/>
      <c r="AK43" s="40"/>
      <c r="AM43" s="41" t="str">
        <f aca="false">TRIM(MID(SUBSTITUTE($G43&amp;",",",",REPT(" ",99)),1,99))</f>
        <v>D4</v>
      </c>
      <c r="AN43" s="41" t="str">
        <f aca="false">TRIM(MID(SUBSTITUTE($G43&amp;",",",",REPT(" ",99)),100,99))</f>
        <v>E6</v>
      </c>
      <c r="AO43" s="41" t="str">
        <f aca="false">TRIM(MID(SUBSTITUTE($G43&amp;",",",",REPT(" ",99)),199,99))</f>
        <v/>
      </c>
      <c r="AP43" s="41" t="str">
        <f aca="false">TRIM(MID(SUBSTITUTE($G43&amp;",",",",REPT(" ",99)),298,99))</f>
        <v/>
      </c>
      <c r="AQ43" s="42" t="n">
        <f aca="false">IF(AM43="",0,IFERROR(IF(OR(INDEX($E$6:$E$55,MATCH(AM43,$A$6:$A$55,0))&gt;$E43,INDEX($F$6:$F$55,MATCH(AM43,$A$6:$A$55,0))&gt;$F43),1,0),1))</f>
        <v>0</v>
      </c>
      <c r="AR43" s="42" t="n">
        <f aca="false">IF(AN43="",0,IFERROR(IF(OR(INDEX($E$6:$E$55,MATCH(AN43,$A$6:$A$55,0))&gt;$E43,INDEX($F$6:$F$55,MATCH(AN43,$A$6:$A$55,0))&gt;$F43),1,0),1))</f>
        <v>0</v>
      </c>
      <c r="AS43" s="42" t="n">
        <f aca="false">IF(AO43="",0,IFERROR(IF(OR(INDEX($E$6:$E$55,MATCH(AO43,$A$6:$A$55,0))&gt;$E43,INDEX($F$6:$F$55,MATCH(AO43,$A$6:$A$55,0))&gt;$F43),1,0),1))</f>
        <v>0</v>
      </c>
      <c r="AT43" s="42" t="n">
        <f aca="false">IF(AP43="",0,IFERROR(IF(OR(INDEX($E$6:$E$55,MATCH(AP43,$A$6:$A$55,0))&gt;$E43,INDEX($F$6:$F$55,MATCH(AP43,$A$6:$A$55,0))&gt;$F43),1,0),1))</f>
        <v>0</v>
      </c>
    </row>
    <row r="44" customFormat="false" ht="27.75" hidden="false" customHeight="true" outlineLevel="0" collapsed="false">
      <c r="A44" s="31" t="s">
        <v>218</v>
      </c>
      <c r="B44" s="32" t="s">
        <v>219</v>
      </c>
      <c r="C44" s="33" t="s">
        <v>24</v>
      </c>
      <c r="D44" s="32" t="s">
        <v>178</v>
      </c>
      <c r="E44" s="34" t="n">
        <v>14</v>
      </c>
      <c r="F44" s="34" t="n">
        <v>14</v>
      </c>
      <c r="G44" s="35" t="s">
        <v>214</v>
      </c>
      <c r="H44" s="43" t="n">
        <v>4991.11</v>
      </c>
      <c r="I44" s="37" t="s">
        <v>168</v>
      </c>
      <c r="J44" s="32" t="s">
        <v>220</v>
      </c>
      <c r="K44" s="37" t="s">
        <v>93</v>
      </c>
      <c r="L44" s="33" t="s">
        <v>94</v>
      </c>
      <c r="M44" s="38" t="n">
        <f aca="false">F44-E44+1</f>
        <v>1</v>
      </c>
      <c r="N44" s="39" t="n">
        <f aca="false">IF(M44&lt;=0,0,H44/M44)</f>
        <v>4991.11</v>
      </c>
      <c r="O44" s="38" t="n">
        <f aca="false">SUM(AQ44:AT44)+IF(LEN($G44)-LEN(SUBSTITUTE($G44,",",""))&gt;=4,1,0)</f>
        <v>0</v>
      </c>
      <c r="P44" s="40"/>
      <c r="Q44" s="40"/>
      <c r="R44" s="40"/>
      <c r="S44" s="40"/>
      <c r="T44" s="40"/>
      <c r="U44" s="40"/>
      <c r="V44" s="40"/>
      <c r="W44" s="40"/>
      <c r="X44" s="40"/>
      <c r="Y44" s="40"/>
      <c r="Z44" s="40"/>
      <c r="AA44" s="40"/>
      <c r="AB44" s="40"/>
      <c r="AC44" s="40"/>
      <c r="AD44" s="40"/>
      <c r="AE44" s="40"/>
      <c r="AF44" s="40"/>
      <c r="AG44" s="40"/>
      <c r="AH44" s="40"/>
      <c r="AI44" s="40"/>
      <c r="AJ44" s="40"/>
      <c r="AK44" s="40"/>
      <c r="AM44" s="41" t="str">
        <f aca="false">TRIM(MID(SUBSTITUTE($G44&amp;",",",",REPT(" ",99)),1,99))</f>
        <v>F3</v>
      </c>
      <c r="AN44" s="41" t="str">
        <f aca="false">TRIM(MID(SUBSTITUTE($G44&amp;",",",",REPT(" ",99)),100,99))</f>
        <v/>
      </c>
      <c r="AO44" s="41" t="str">
        <f aca="false">TRIM(MID(SUBSTITUTE($G44&amp;",",",",REPT(" ",99)),199,99))</f>
        <v/>
      </c>
      <c r="AP44" s="41" t="str">
        <f aca="false">TRIM(MID(SUBSTITUTE($G44&amp;",",",",REPT(" ",99)),298,99))</f>
        <v/>
      </c>
      <c r="AQ44" s="42" t="n">
        <f aca="false">IF(AM44="",0,IFERROR(IF(OR(INDEX($E$6:$E$55,MATCH(AM44,$A$6:$A$55,0))&gt;$E44,INDEX($F$6:$F$55,MATCH(AM44,$A$6:$A$55,0))&gt;$F44),1,0),1))</f>
        <v>0</v>
      </c>
      <c r="AR44" s="42" t="n">
        <f aca="false">IF(AN44="",0,IFERROR(IF(OR(INDEX($E$6:$E$55,MATCH(AN44,$A$6:$A$55,0))&gt;$E44,INDEX($F$6:$F$55,MATCH(AN44,$A$6:$A$55,0))&gt;$F44),1,0),1))</f>
        <v>0</v>
      </c>
      <c r="AS44" s="42" t="n">
        <f aca="false">IF(AO44="",0,IFERROR(IF(OR(INDEX($E$6:$E$55,MATCH(AO44,$A$6:$A$55,0))&gt;$E44,INDEX($F$6:$F$55,MATCH(AO44,$A$6:$A$55,0))&gt;$F44),1,0),1))</f>
        <v>0</v>
      </c>
      <c r="AT44" s="42" t="n">
        <f aca="false">IF(AP44="",0,IFERROR(IF(OR(INDEX($E$6:$E$55,MATCH(AP44,$A$6:$A$55,0))&gt;$E44,INDEX($F$6:$F$55,MATCH(AP44,$A$6:$A$55,0))&gt;$F44),1,0),1))</f>
        <v>0</v>
      </c>
    </row>
    <row r="45" customFormat="false" ht="40.5" hidden="false" customHeight="true" outlineLevel="0" collapsed="false">
      <c r="A45" s="31" t="s">
        <v>221</v>
      </c>
      <c r="B45" s="32" t="s">
        <v>222</v>
      </c>
      <c r="C45" s="33" t="s">
        <v>22</v>
      </c>
      <c r="D45" s="32" t="s">
        <v>27</v>
      </c>
      <c r="E45" s="34" t="n">
        <v>14</v>
      </c>
      <c r="F45" s="34" t="n">
        <v>17</v>
      </c>
      <c r="G45" s="35" t="s">
        <v>206</v>
      </c>
      <c r="H45" s="36" t="n">
        <v>0</v>
      </c>
      <c r="I45" s="37" t="s">
        <v>91</v>
      </c>
      <c r="J45" s="32" t="s">
        <v>223</v>
      </c>
      <c r="K45" s="37" t="s">
        <v>93</v>
      </c>
      <c r="L45" s="33" t="s">
        <v>94</v>
      </c>
      <c r="M45" s="38" t="n">
        <f aca="false">F45-E45+1</f>
        <v>4</v>
      </c>
      <c r="N45" s="39" t="n">
        <f aca="false">IF(M45&lt;=0,0,H45/M45)</f>
        <v>0</v>
      </c>
      <c r="O45" s="38" t="n">
        <f aca="false">SUM(AQ45:AT45)+IF(LEN($G45)-LEN(SUBSTITUTE($G45,",",""))&gt;=4,1,0)</f>
        <v>0</v>
      </c>
      <c r="P45" s="40"/>
      <c r="Q45" s="40"/>
      <c r="R45" s="40"/>
      <c r="S45" s="40"/>
      <c r="T45" s="40"/>
      <c r="U45" s="40"/>
      <c r="V45" s="40"/>
      <c r="W45" s="40"/>
      <c r="X45" s="40"/>
      <c r="Y45" s="40"/>
      <c r="Z45" s="40"/>
      <c r="AA45" s="40"/>
      <c r="AB45" s="40"/>
      <c r="AC45" s="40"/>
      <c r="AD45" s="40"/>
      <c r="AE45" s="40"/>
      <c r="AF45" s="40"/>
      <c r="AG45" s="40"/>
      <c r="AH45" s="40"/>
      <c r="AI45" s="40"/>
      <c r="AJ45" s="40"/>
      <c r="AK45" s="40"/>
      <c r="AM45" s="41" t="str">
        <f aca="false">TRIM(MID(SUBSTITUTE($G45&amp;",",",",REPT(" ",99)),1,99))</f>
        <v>F1</v>
      </c>
      <c r="AN45" s="41" t="str">
        <f aca="false">TRIM(MID(SUBSTITUTE($G45&amp;",",",",REPT(" ",99)),100,99))</f>
        <v/>
      </c>
      <c r="AO45" s="41" t="str">
        <f aca="false">TRIM(MID(SUBSTITUTE($G45&amp;",",",",REPT(" ",99)),199,99))</f>
        <v/>
      </c>
      <c r="AP45" s="41" t="str">
        <f aca="false">TRIM(MID(SUBSTITUTE($G45&amp;",",",",REPT(" ",99)),298,99))</f>
        <v/>
      </c>
      <c r="AQ45" s="42" t="n">
        <f aca="false">IF(AM45="",0,IFERROR(IF(OR(INDEX($E$6:$E$55,MATCH(AM45,$A$6:$A$55,0))&gt;$E45,INDEX($F$6:$F$55,MATCH(AM45,$A$6:$A$55,0))&gt;$F45),1,0),1))</f>
        <v>0</v>
      </c>
      <c r="AR45" s="42" t="n">
        <f aca="false">IF(AN45="",0,IFERROR(IF(OR(INDEX($E$6:$E$55,MATCH(AN45,$A$6:$A$55,0))&gt;$E45,INDEX($F$6:$F$55,MATCH(AN45,$A$6:$A$55,0))&gt;$F45),1,0),1))</f>
        <v>0</v>
      </c>
      <c r="AS45" s="42" t="n">
        <f aca="false">IF(AO45="",0,IFERROR(IF(OR(INDEX($E$6:$E$55,MATCH(AO45,$A$6:$A$55,0))&gt;$E45,INDEX($F$6:$F$55,MATCH(AO45,$A$6:$A$55,0))&gt;$F45),1,0),1))</f>
        <v>0</v>
      </c>
      <c r="AT45" s="42" t="n">
        <f aca="false">IF(AP45="",0,IFERROR(IF(OR(INDEX($E$6:$E$55,MATCH(AP45,$A$6:$A$55,0))&gt;$E45,INDEX($F$6:$F$55,MATCH(AP45,$A$6:$A$55,0))&gt;$F45),1,0),1))</f>
        <v>0</v>
      </c>
    </row>
    <row r="46" customFormat="false" ht="27.75" hidden="false" customHeight="true" outlineLevel="0" collapsed="false">
      <c r="A46" s="31" t="s">
        <v>224</v>
      </c>
      <c r="B46" s="32" t="s">
        <v>225</v>
      </c>
      <c r="C46" s="33" t="s">
        <v>21</v>
      </c>
      <c r="D46" s="32" t="s">
        <v>25</v>
      </c>
      <c r="E46" s="34" t="n">
        <v>14</v>
      </c>
      <c r="F46" s="34" t="n">
        <v>16</v>
      </c>
      <c r="G46" s="35" t="s">
        <v>226</v>
      </c>
      <c r="H46" s="43" t="n">
        <v>5485.28</v>
      </c>
      <c r="I46" s="37" t="s">
        <v>168</v>
      </c>
      <c r="J46" s="32" t="s">
        <v>227</v>
      </c>
      <c r="K46" s="37" t="s">
        <v>93</v>
      </c>
      <c r="L46" s="33" t="s">
        <v>94</v>
      </c>
      <c r="M46" s="38" t="n">
        <f aca="false">F46-E46+1</f>
        <v>3</v>
      </c>
      <c r="N46" s="39" t="n">
        <f aca="false">IF(M46&lt;=0,0,H46/M46)</f>
        <v>1828.42666666667</v>
      </c>
      <c r="O46" s="38" t="n">
        <f aca="false">SUM(AQ46:AT46)+IF(LEN($G46)-LEN(SUBSTITUTE($G46,",",""))&gt;=4,1,0)</f>
        <v>0</v>
      </c>
      <c r="P46" s="40"/>
      <c r="Q46" s="40"/>
      <c r="R46" s="40"/>
      <c r="S46" s="40"/>
      <c r="T46" s="40"/>
      <c r="U46" s="40"/>
      <c r="V46" s="40"/>
      <c r="W46" s="40"/>
      <c r="X46" s="40"/>
      <c r="Y46" s="40"/>
      <c r="Z46" s="40"/>
      <c r="AA46" s="40"/>
      <c r="AB46" s="40"/>
      <c r="AC46" s="40"/>
      <c r="AD46" s="40"/>
      <c r="AE46" s="40"/>
      <c r="AF46" s="40"/>
      <c r="AG46" s="40"/>
      <c r="AH46" s="40"/>
      <c r="AI46" s="40"/>
      <c r="AJ46" s="40"/>
      <c r="AK46" s="40"/>
      <c r="AM46" s="41" t="str">
        <f aca="false">TRIM(MID(SUBSTITUTE($G46&amp;",",",",REPT(" ",99)),1,99))</f>
        <v>F3</v>
      </c>
      <c r="AN46" s="41" t="str">
        <f aca="false">TRIM(MID(SUBSTITUTE($G46&amp;",",",",REPT(" ",99)),100,99))</f>
        <v>F4</v>
      </c>
      <c r="AO46" s="41" t="str">
        <f aca="false">TRIM(MID(SUBSTITUTE($G46&amp;",",",",REPT(" ",99)),199,99))</f>
        <v/>
      </c>
      <c r="AP46" s="41" t="str">
        <f aca="false">TRIM(MID(SUBSTITUTE($G46&amp;",",",",REPT(" ",99)),298,99))</f>
        <v/>
      </c>
      <c r="AQ46" s="42" t="n">
        <f aca="false">IF(AM46="",0,IFERROR(IF(OR(INDEX($E$6:$E$55,MATCH(AM46,$A$6:$A$55,0))&gt;$E46,INDEX($F$6:$F$55,MATCH(AM46,$A$6:$A$55,0))&gt;$F46),1,0),1))</f>
        <v>0</v>
      </c>
      <c r="AR46" s="42" t="n">
        <f aca="false">IF(AN46="",0,IFERROR(IF(OR(INDEX($E$6:$E$55,MATCH(AN46,$A$6:$A$55,0))&gt;$E46,INDEX($F$6:$F$55,MATCH(AN46,$A$6:$A$55,0))&gt;$F46),1,0),1))</f>
        <v>0</v>
      </c>
      <c r="AS46" s="42" t="n">
        <f aca="false">IF(AO46="",0,IFERROR(IF(OR(INDEX($E$6:$E$55,MATCH(AO46,$A$6:$A$55,0))&gt;$E46,INDEX($F$6:$F$55,MATCH(AO46,$A$6:$A$55,0))&gt;$F46),1,0),1))</f>
        <v>0</v>
      </c>
      <c r="AT46" s="42" t="n">
        <f aca="false">IF(AP46="",0,IFERROR(IF(OR(INDEX($E$6:$E$55,MATCH(AP46,$A$6:$A$55,0))&gt;$E46,INDEX($F$6:$F$55,MATCH(AP46,$A$6:$A$55,0))&gt;$F46),1,0),1))</f>
        <v>0</v>
      </c>
    </row>
    <row r="47" customFormat="false" ht="54" hidden="false" customHeight="true" outlineLevel="0" collapsed="false">
      <c r="A47" s="31" t="s">
        <v>228</v>
      </c>
      <c r="B47" s="32" t="s">
        <v>229</v>
      </c>
      <c r="C47" s="33" t="s">
        <v>21</v>
      </c>
      <c r="D47" s="32" t="s">
        <v>22</v>
      </c>
      <c r="E47" s="34" t="n">
        <v>12</v>
      </c>
      <c r="F47" s="34" t="n">
        <v>17</v>
      </c>
      <c r="G47" s="35" t="s">
        <v>230</v>
      </c>
      <c r="H47" s="36" t="n">
        <v>0</v>
      </c>
      <c r="I47" s="37" t="s">
        <v>91</v>
      </c>
      <c r="J47" s="32" t="s">
        <v>231</v>
      </c>
      <c r="K47" s="37" t="s">
        <v>93</v>
      </c>
      <c r="L47" s="33" t="s">
        <v>94</v>
      </c>
      <c r="M47" s="38" t="n">
        <f aca="false">F47-E47+1</f>
        <v>6</v>
      </c>
      <c r="N47" s="39" t="n">
        <f aca="false">IF(M47&lt;=0,0,H47/M47)</f>
        <v>0</v>
      </c>
      <c r="O47" s="38" t="n">
        <f aca="false">SUM(AQ47:AT47)+IF(LEN($G47)-LEN(SUBSTITUTE($G47,",",""))&gt;=4,1,0)</f>
        <v>0</v>
      </c>
      <c r="P47" s="40"/>
      <c r="Q47" s="40"/>
      <c r="R47" s="40"/>
      <c r="S47" s="40"/>
      <c r="T47" s="40"/>
      <c r="U47" s="40"/>
      <c r="V47" s="40"/>
      <c r="W47" s="40"/>
      <c r="X47" s="40"/>
      <c r="Y47" s="40"/>
      <c r="Z47" s="40"/>
      <c r="AA47" s="40"/>
      <c r="AB47" s="40"/>
      <c r="AC47" s="40"/>
      <c r="AD47" s="40"/>
      <c r="AE47" s="40"/>
      <c r="AF47" s="40"/>
      <c r="AG47" s="40"/>
      <c r="AH47" s="40"/>
      <c r="AI47" s="40"/>
      <c r="AJ47" s="40"/>
      <c r="AK47" s="40"/>
      <c r="AM47" s="41" t="str">
        <f aca="false">TRIM(MID(SUBSTITUTE($G47&amp;",",",",REPT(" ",99)),1,99))</f>
        <v>A9</v>
      </c>
      <c r="AN47" s="41" t="str">
        <f aca="false">TRIM(MID(SUBSTITUTE($G47&amp;",",",",REPT(" ",99)),100,99))</f>
        <v>A10</v>
      </c>
      <c r="AO47" s="41" t="str">
        <f aca="false">TRIM(MID(SUBSTITUTE($G47&amp;",",",",REPT(" ",99)),199,99))</f>
        <v/>
      </c>
      <c r="AP47" s="41" t="str">
        <f aca="false">TRIM(MID(SUBSTITUTE($G47&amp;",",",",REPT(" ",99)),298,99))</f>
        <v/>
      </c>
      <c r="AQ47" s="42" t="n">
        <f aca="false">IF(AM47="",0,IFERROR(IF(OR(INDEX($E$6:$E$55,MATCH(AM47,$A$6:$A$55,0))&gt;$E47,INDEX($F$6:$F$55,MATCH(AM47,$A$6:$A$55,0))&gt;$F47),1,0),1))</f>
        <v>0</v>
      </c>
      <c r="AR47" s="42" t="n">
        <f aca="false">IF(AN47="",0,IFERROR(IF(OR(INDEX($E$6:$E$55,MATCH(AN47,$A$6:$A$55,0))&gt;$E47,INDEX($F$6:$F$55,MATCH(AN47,$A$6:$A$55,0))&gt;$F47),1,0),1))</f>
        <v>0</v>
      </c>
      <c r="AS47" s="42" t="n">
        <f aca="false">IF(AO47="",0,IFERROR(IF(OR(INDEX($E$6:$E$55,MATCH(AO47,$A$6:$A$55,0))&gt;$E47,INDEX($F$6:$F$55,MATCH(AO47,$A$6:$A$55,0))&gt;$F47),1,0),1))</f>
        <v>0</v>
      </c>
      <c r="AT47" s="42" t="n">
        <f aca="false">IF(AP47="",0,IFERROR(IF(OR(INDEX($E$6:$E$55,MATCH(AP47,$A$6:$A$55,0))&gt;$E47,INDEX($F$6:$F$55,MATCH(AP47,$A$6:$A$55,0))&gt;$F47),1,0),1))</f>
        <v>0</v>
      </c>
    </row>
    <row r="48" customFormat="false" ht="27.75" hidden="false" customHeight="true" outlineLevel="0" collapsed="false">
      <c r="A48" s="31" t="s">
        <v>232</v>
      </c>
      <c r="B48" s="32" t="s">
        <v>233</v>
      </c>
      <c r="C48" s="33" t="s">
        <v>24</v>
      </c>
      <c r="D48" s="32" t="s">
        <v>178</v>
      </c>
      <c r="E48" s="34" t="n">
        <v>18</v>
      </c>
      <c r="F48" s="34" t="n">
        <v>18</v>
      </c>
      <c r="G48" s="35" t="s">
        <v>224</v>
      </c>
      <c r="H48" s="43" t="n">
        <v>6378.32</v>
      </c>
      <c r="I48" s="37" t="s">
        <v>168</v>
      </c>
      <c r="J48" s="32" t="s">
        <v>220</v>
      </c>
      <c r="K48" s="37" t="s">
        <v>93</v>
      </c>
      <c r="L48" s="33" t="s">
        <v>94</v>
      </c>
      <c r="M48" s="38" t="n">
        <f aca="false">F48-E48+1</f>
        <v>1</v>
      </c>
      <c r="N48" s="39" t="n">
        <f aca="false">IF(M48&lt;=0,0,H48/M48)</f>
        <v>6378.32</v>
      </c>
      <c r="O48" s="38" t="n">
        <f aca="false">SUM(AQ48:AT48)+IF(LEN($G48)-LEN(SUBSTITUTE($G48,",",""))&gt;=4,1,0)</f>
        <v>0</v>
      </c>
      <c r="P48" s="40"/>
      <c r="Q48" s="40"/>
      <c r="R48" s="40"/>
      <c r="S48" s="40"/>
      <c r="T48" s="40"/>
      <c r="U48" s="40"/>
      <c r="V48" s="40"/>
      <c r="W48" s="40"/>
      <c r="X48" s="40"/>
      <c r="Y48" s="40"/>
      <c r="Z48" s="40"/>
      <c r="AA48" s="40"/>
      <c r="AB48" s="40"/>
      <c r="AC48" s="40"/>
      <c r="AD48" s="40"/>
      <c r="AE48" s="40"/>
      <c r="AF48" s="40"/>
      <c r="AG48" s="40"/>
      <c r="AH48" s="40"/>
      <c r="AI48" s="40"/>
      <c r="AJ48" s="40"/>
      <c r="AK48" s="40"/>
      <c r="AM48" s="41" t="str">
        <f aca="false">TRIM(MID(SUBSTITUTE($G48&amp;",",",",REPT(" ",99)),1,99))</f>
        <v>F6</v>
      </c>
      <c r="AN48" s="41" t="str">
        <f aca="false">TRIM(MID(SUBSTITUTE($G48&amp;",",",",REPT(" ",99)),100,99))</f>
        <v/>
      </c>
      <c r="AO48" s="41" t="str">
        <f aca="false">TRIM(MID(SUBSTITUTE($G48&amp;",",",",REPT(" ",99)),199,99))</f>
        <v/>
      </c>
      <c r="AP48" s="41" t="str">
        <f aca="false">TRIM(MID(SUBSTITUTE($G48&amp;",",",",REPT(" ",99)),298,99))</f>
        <v/>
      </c>
      <c r="AQ48" s="42" t="n">
        <f aca="false">IF(AM48="",0,IFERROR(IF(OR(INDEX($E$6:$E$55,MATCH(AM48,$A$6:$A$55,0))&gt;$E48,INDEX($F$6:$F$55,MATCH(AM48,$A$6:$A$55,0))&gt;$F48),1,0),1))</f>
        <v>0</v>
      </c>
      <c r="AR48" s="42" t="n">
        <f aca="false">IF(AN48="",0,IFERROR(IF(OR(INDEX($E$6:$E$55,MATCH(AN48,$A$6:$A$55,0))&gt;$E48,INDEX($F$6:$F$55,MATCH(AN48,$A$6:$A$55,0))&gt;$F48),1,0),1))</f>
        <v>0</v>
      </c>
      <c r="AS48" s="42" t="n">
        <f aca="false">IF(AO48="",0,IFERROR(IF(OR(INDEX($E$6:$E$55,MATCH(AO48,$A$6:$A$55,0))&gt;$E48,INDEX($F$6:$F$55,MATCH(AO48,$A$6:$A$55,0))&gt;$F48),1,0),1))</f>
        <v>0</v>
      </c>
      <c r="AT48" s="42" t="n">
        <f aca="false">IF(AP48="",0,IFERROR(IF(OR(INDEX($E$6:$E$55,MATCH(AP48,$A$6:$A$55,0))&gt;$E48,INDEX($F$6:$F$55,MATCH(AP48,$A$6:$A$55,0))&gt;$F48),1,0),1))</f>
        <v>0</v>
      </c>
    </row>
    <row r="49" customFormat="false" ht="27.75" hidden="false" customHeight="true" outlineLevel="0" collapsed="false">
      <c r="A49" s="31" t="s">
        <v>234</v>
      </c>
      <c r="B49" s="32" t="s">
        <v>235</v>
      </c>
      <c r="C49" s="33" t="s">
        <v>22</v>
      </c>
      <c r="D49" s="32" t="s">
        <v>27</v>
      </c>
      <c r="E49" s="34" t="n">
        <v>18</v>
      </c>
      <c r="F49" s="34" t="n">
        <v>22</v>
      </c>
      <c r="G49" s="35" t="s">
        <v>221</v>
      </c>
      <c r="H49" s="36" t="n">
        <v>0</v>
      </c>
      <c r="I49" s="37" t="s">
        <v>91</v>
      </c>
      <c r="J49" s="32" t="s">
        <v>236</v>
      </c>
      <c r="K49" s="37" t="s">
        <v>93</v>
      </c>
      <c r="L49" s="33" t="s">
        <v>94</v>
      </c>
      <c r="M49" s="38" t="n">
        <f aca="false">F49-E49+1</f>
        <v>5</v>
      </c>
      <c r="N49" s="39" t="n">
        <f aca="false">IF(M49&lt;=0,0,H49/M49)</f>
        <v>0</v>
      </c>
      <c r="O49" s="38" t="n">
        <f aca="false">SUM(AQ49:AT49)+IF(LEN($G49)-LEN(SUBSTITUTE($G49,",",""))&gt;=4,1,0)</f>
        <v>0</v>
      </c>
      <c r="P49" s="40"/>
      <c r="Q49" s="40"/>
      <c r="R49" s="40"/>
      <c r="S49" s="40"/>
      <c r="T49" s="40"/>
      <c r="U49" s="40"/>
      <c r="V49" s="40"/>
      <c r="W49" s="40"/>
      <c r="X49" s="40"/>
      <c r="Y49" s="40"/>
      <c r="Z49" s="40"/>
      <c r="AA49" s="40"/>
      <c r="AB49" s="40"/>
      <c r="AC49" s="40"/>
      <c r="AD49" s="40"/>
      <c r="AE49" s="40"/>
      <c r="AF49" s="40"/>
      <c r="AG49" s="40"/>
      <c r="AH49" s="40"/>
      <c r="AI49" s="40"/>
      <c r="AJ49" s="40"/>
      <c r="AK49" s="40"/>
      <c r="AM49" s="41" t="str">
        <f aca="false">TRIM(MID(SUBSTITUTE($G49&amp;",",",",REPT(" ",99)),1,99))</f>
        <v>F5</v>
      </c>
      <c r="AN49" s="41" t="str">
        <f aca="false">TRIM(MID(SUBSTITUTE($G49&amp;",",",",REPT(" ",99)),100,99))</f>
        <v/>
      </c>
      <c r="AO49" s="41" t="str">
        <f aca="false">TRIM(MID(SUBSTITUTE($G49&amp;",",",",REPT(" ",99)),199,99))</f>
        <v/>
      </c>
      <c r="AP49" s="41" t="str">
        <f aca="false">TRIM(MID(SUBSTITUTE($G49&amp;",",",",REPT(" ",99)),298,99))</f>
        <v/>
      </c>
      <c r="AQ49" s="42" t="n">
        <f aca="false">IF(AM49="",0,IFERROR(IF(OR(INDEX($E$6:$E$55,MATCH(AM49,$A$6:$A$55,0))&gt;$E49,INDEX($F$6:$F$55,MATCH(AM49,$A$6:$A$55,0))&gt;$F49),1,0),1))</f>
        <v>0</v>
      </c>
      <c r="AR49" s="42" t="n">
        <f aca="false">IF(AN49="",0,IFERROR(IF(OR(INDEX($E$6:$E$55,MATCH(AN49,$A$6:$A$55,0))&gt;$E49,INDEX($F$6:$F$55,MATCH(AN49,$A$6:$A$55,0))&gt;$F49),1,0),1))</f>
        <v>0</v>
      </c>
      <c r="AS49" s="42" t="n">
        <f aca="false">IF(AO49="",0,IFERROR(IF(OR(INDEX($E$6:$E$55,MATCH(AO49,$A$6:$A$55,0))&gt;$E49,INDEX($F$6:$F$55,MATCH(AO49,$A$6:$A$55,0))&gt;$F49),1,0),1))</f>
        <v>0</v>
      </c>
      <c r="AT49" s="42" t="n">
        <f aca="false">IF(AP49="",0,IFERROR(IF(OR(INDEX($E$6:$E$55,MATCH(AP49,$A$6:$A$55,0))&gt;$E49,INDEX($F$6:$F$55,MATCH(AP49,$A$6:$A$55,0))&gt;$F49),1,0),1))</f>
        <v>0</v>
      </c>
    </row>
    <row r="50" customFormat="false" ht="40.5" hidden="false" customHeight="true" outlineLevel="0" collapsed="false">
      <c r="A50" s="31" t="s">
        <v>237</v>
      </c>
      <c r="B50" s="32" t="s">
        <v>238</v>
      </c>
      <c r="C50" s="33" t="s">
        <v>21</v>
      </c>
      <c r="D50" s="32" t="s">
        <v>25</v>
      </c>
      <c r="E50" s="34" t="n">
        <v>18</v>
      </c>
      <c r="F50" s="34" t="n">
        <v>21</v>
      </c>
      <c r="G50" s="35" t="s">
        <v>239</v>
      </c>
      <c r="H50" s="43" t="n">
        <v>6764.36</v>
      </c>
      <c r="I50" s="37" t="s">
        <v>168</v>
      </c>
      <c r="J50" s="32" t="s">
        <v>240</v>
      </c>
      <c r="K50" s="37" t="s">
        <v>93</v>
      </c>
      <c r="L50" s="33" t="s">
        <v>94</v>
      </c>
      <c r="M50" s="38" t="n">
        <f aca="false">F50-E50+1</f>
        <v>4</v>
      </c>
      <c r="N50" s="39" t="n">
        <f aca="false">IF(M50&lt;=0,0,H50/M50)</f>
        <v>1691.09</v>
      </c>
      <c r="O50" s="38" t="n">
        <f aca="false">SUM(AQ50:AT50)+IF(LEN($G50)-LEN(SUBSTITUTE($G50,",",""))&gt;=4,1,0)</f>
        <v>0</v>
      </c>
      <c r="P50" s="40"/>
      <c r="Q50" s="40"/>
      <c r="R50" s="40"/>
      <c r="S50" s="40"/>
      <c r="T50" s="40"/>
      <c r="U50" s="40"/>
      <c r="V50" s="40"/>
      <c r="W50" s="40"/>
      <c r="X50" s="40"/>
      <c r="Y50" s="40"/>
      <c r="Z50" s="40"/>
      <c r="AA50" s="40"/>
      <c r="AB50" s="40"/>
      <c r="AC50" s="40"/>
      <c r="AD50" s="40"/>
      <c r="AE50" s="40"/>
      <c r="AF50" s="40"/>
      <c r="AG50" s="40"/>
      <c r="AH50" s="40"/>
      <c r="AI50" s="40"/>
      <c r="AJ50" s="40"/>
      <c r="AK50" s="40"/>
      <c r="AM50" s="41" t="str">
        <f aca="false">TRIM(MID(SUBSTITUTE($G50&amp;",",",",REPT(" ",99)),1,99))</f>
        <v>F6</v>
      </c>
      <c r="AN50" s="41" t="str">
        <f aca="false">TRIM(MID(SUBSTITUTE($G50&amp;",",",",REPT(" ",99)),100,99))</f>
        <v>F8</v>
      </c>
      <c r="AO50" s="41" t="str">
        <f aca="false">TRIM(MID(SUBSTITUTE($G50&amp;",",",",REPT(" ",99)),199,99))</f>
        <v/>
      </c>
      <c r="AP50" s="41" t="str">
        <f aca="false">TRIM(MID(SUBSTITUTE($G50&amp;",",",",REPT(" ",99)),298,99))</f>
        <v/>
      </c>
      <c r="AQ50" s="42" t="n">
        <f aca="false">IF(AM50="",0,IFERROR(IF(OR(INDEX($E$6:$E$55,MATCH(AM50,$A$6:$A$55,0))&gt;$E50,INDEX($F$6:$F$55,MATCH(AM50,$A$6:$A$55,0))&gt;$F50),1,0),1))</f>
        <v>0</v>
      </c>
      <c r="AR50" s="42" t="n">
        <f aca="false">IF(AN50="",0,IFERROR(IF(OR(INDEX($E$6:$E$55,MATCH(AN50,$A$6:$A$55,0))&gt;$E50,INDEX($F$6:$F$55,MATCH(AN50,$A$6:$A$55,0))&gt;$F50),1,0),1))</f>
        <v>0</v>
      </c>
      <c r="AS50" s="42" t="n">
        <f aca="false">IF(AO50="",0,IFERROR(IF(OR(INDEX($E$6:$E$55,MATCH(AO50,$A$6:$A$55,0))&gt;$E50,INDEX($F$6:$F$55,MATCH(AO50,$A$6:$A$55,0))&gt;$F50),1,0),1))</f>
        <v>0</v>
      </c>
      <c r="AT50" s="42" t="n">
        <f aca="false">IF(AP50="",0,IFERROR(IF(OR(INDEX($E$6:$E$55,MATCH(AP50,$A$6:$A$55,0))&gt;$E50,INDEX($F$6:$F$55,MATCH(AP50,$A$6:$A$55,0))&gt;$F50),1,0),1))</f>
        <v>0</v>
      </c>
    </row>
    <row r="51" customFormat="false" ht="40.5" hidden="false" customHeight="true" outlineLevel="0" collapsed="false">
      <c r="A51" s="31" t="s">
        <v>241</v>
      </c>
      <c r="B51" s="32" t="s">
        <v>242</v>
      </c>
      <c r="C51" s="33" t="s">
        <v>22</v>
      </c>
      <c r="D51" s="32" t="s">
        <v>21</v>
      </c>
      <c r="E51" s="34" t="n">
        <v>12</v>
      </c>
      <c r="F51" s="34" t="n">
        <v>13</v>
      </c>
      <c r="G51" s="35" t="s">
        <v>151</v>
      </c>
      <c r="H51" s="36" t="n">
        <v>1200</v>
      </c>
      <c r="I51" s="37" t="s">
        <v>243</v>
      </c>
      <c r="J51" s="32" t="s">
        <v>244</v>
      </c>
      <c r="K51" s="37" t="s">
        <v>99</v>
      </c>
      <c r="L51" s="33" t="s">
        <v>94</v>
      </c>
      <c r="M51" s="38" t="n">
        <f aca="false">F51-E51+1</f>
        <v>2</v>
      </c>
      <c r="N51" s="39" t="n">
        <f aca="false">IF(M51&lt;=0,0,H51/M51)</f>
        <v>600</v>
      </c>
      <c r="O51" s="38" t="n">
        <f aca="false">SUM(AQ51:AT51)+IF(LEN($G51)-LEN(SUBSTITUTE($G51,",",""))&gt;=4,1,0)</f>
        <v>0</v>
      </c>
      <c r="P51" s="40"/>
      <c r="Q51" s="40"/>
      <c r="R51" s="40"/>
      <c r="S51" s="40"/>
      <c r="T51" s="40"/>
      <c r="U51" s="40"/>
      <c r="V51" s="40"/>
      <c r="W51" s="40"/>
      <c r="X51" s="40"/>
      <c r="Y51" s="40"/>
      <c r="Z51" s="40"/>
      <c r="AA51" s="40"/>
      <c r="AB51" s="40"/>
      <c r="AC51" s="40"/>
      <c r="AD51" s="40"/>
      <c r="AE51" s="40"/>
      <c r="AF51" s="40"/>
      <c r="AG51" s="40"/>
      <c r="AH51" s="40"/>
      <c r="AI51" s="40"/>
      <c r="AJ51" s="40"/>
      <c r="AK51" s="40"/>
      <c r="AM51" s="41" t="str">
        <f aca="false">TRIM(MID(SUBSTITUTE($G51&amp;",",",",REPT(" ",99)),1,99))</f>
        <v>C3</v>
      </c>
      <c r="AN51" s="41" t="str">
        <f aca="false">TRIM(MID(SUBSTITUTE($G51&amp;",",",",REPT(" ",99)),100,99))</f>
        <v/>
      </c>
      <c r="AO51" s="41" t="str">
        <f aca="false">TRIM(MID(SUBSTITUTE($G51&amp;",",",",REPT(" ",99)),199,99))</f>
        <v/>
      </c>
      <c r="AP51" s="41" t="str">
        <f aca="false">TRIM(MID(SUBSTITUTE($G51&amp;",",",",REPT(" ",99)),298,99))</f>
        <v/>
      </c>
      <c r="AQ51" s="42" t="n">
        <f aca="false">IF(AM51="",0,IFERROR(IF(OR(INDEX($E$6:$E$55,MATCH(AM51,$A$6:$A$55,0))&gt;$E51,INDEX($F$6:$F$55,MATCH(AM51,$A$6:$A$55,0))&gt;$F51),1,0),1))</f>
        <v>0</v>
      </c>
      <c r="AR51" s="42" t="n">
        <f aca="false">IF(AN51="",0,IFERROR(IF(OR(INDEX($E$6:$E$55,MATCH(AN51,$A$6:$A$55,0))&gt;$E51,INDEX($F$6:$F$55,MATCH(AN51,$A$6:$A$55,0))&gt;$F51),1,0),1))</f>
        <v>0</v>
      </c>
      <c r="AS51" s="42" t="n">
        <f aca="false">IF(AO51="",0,IFERROR(IF(OR(INDEX($E$6:$E$55,MATCH(AO51,$A$6:$A$55,0))&gt;$E51,INDEX($F$6:$F$55,MATCH(AO51,$A$6:$A$55,0))&gt;$F51),1,0),1))</f>
        <v>0</v>
      </c>
      <c r="AT51" s="42" t="n">
        <f aca="false">IF(AP51="",0,IFERROR(IF(OR(INDEX($E$6:$E$55,MATCH(AP51,$A$6:$A$55,0))&gt;$E51,INDEX($F$6:$F$55,MATCH(AP51,$A$6:$A$55,0))&gt;$F51),1,0),1))</f>
        <v>0</v>
      </c>
    </row>
    <row r="52" customFormat="false" ht="40.5" hidden="false" customHeight="true" outlineLevel="0" collapsed="false">
      <c r="A52" s="31" t="s">
        <v>245</v>
      </c>
      <c r="B52" s="32" t="s">
        <v>246</v>
      </c>
      <c r="C52" s="33" t="s">
        <v>22</v>
      </c>
      <c r="D52" s="32" t="s">
        <v>21</v>
      </c>
      <c r="E52" s="34" t="n">
        <v>10</v>
      </c>
      <c r="F52" s="34" t="n">
        <v>22</v>
      </c>
      <c r="G52" s="35" t="s">
        <v>206</v>
      </c>
      <c r="H52" s="36" t="n">
        <v>0</v>
      </c>
      <c r="I52" s="37" t="s">
        <v>91</v>
      </c>
      <c r="J52" s="32" t="s">
        <v>247</v>
      </c>
      <c r="K52" s="37" t="s">
        <v>93</v>
      </c>
      <c r="L52" s="33" t="s">
        <v>94</v>
      </c>
      <c r="M52" s="38" t="n">
        <f aca="false">F52-E52+1</f>
        <v>13</v>
      </c>
      <c r="N52" s="39" t="n">
        <f aca="false">IF(M52&lt;=0,0,H52/M52)</f>
        <v>0</v>
      </c>
      <c r="O52" s="38" t="n">
        <f aca="false">SUM(AQ52:AT52)+IF(LEN($G52)-LEN(SUBSTITUTE($G52,",",""))&gt;=4,1,0)</f>
        <v>0</v>
      </c>
      <c r="P52" s="40"/>
      <c r="Q52" s="40"/>
      <c r="R52" s="40"/>
      <c r="S52" s="40"/>
      <c r="T52" s="40"/>
      <c r="U52" s="40"/>
      <c r="V52" s="40"/>
      <c r="W52" s="40"/>
      <c r="X52" s="40"/>
      <c r="Y52" s="40"/>
      <c r="Z52" s="40"/>
      <c r="AA52" s="40"/>
      <c r="AB52" s="40"/>
      <c r="AC52" s="40"/>
      <c r="AD52" s="40"/>
      <c r="AE52" s="40"/>
      <c r="AF52" s="40"/>
      <c r="AG52" s="40"/>
      <c r="AH52" s="40"/>
      <c r="AI52" s="40"/>
      <c r="AJ52" s="40"/>
      <c r="AK52" s="40"/>
      <c r="AM52" s="41" t="str">
        <f aca="false">TRIM(MID(SUBSTITUTE($G52&amp;",",",",REPT(" ",99)),1,99))</f>
        <v>F1</v>
      </c>
      <c r="AN52" s="41" t="str">
        <f aca="false">TRIM(MID(SUBSTITUTE($G52&amp;",",",",REPT(" ",99)),100,99))</f>
        <v/>
      </c>
      <c r="AO52" s="41" t="str">
        <f aca="false">TRIM(MID(SUBSTITUTE($G52&amp;",",",",REPT(" ",99)),199,99))</f>
        <v/>
      </c>
      <c r="AP52" s="41" t="str">
        <f aca="false">TRIM(MID(SUBSTITUTE($G52&amp;",",",",REPT(" ",99)),298,99))</f>
        <v/>
      </c>
      <c r="AQ52" s="42" t="n">
        <f aca="false">IF(AM52="",0,IFERROR(IF(OR(INDEX($E$6:$E$55,MATCH(AM52,$A$6:$A$55,0))&gt;$E52,INDEX($F$6:$F$55,MATCH(AM52,$A$6:$A$55,0))&gt;$F52),1,0),1))</f>
        <v>0</v>
      </c>
      <c r="AR52" s="42" t="n">
        <f aca="false">IF(AN52="",0,IFERROR(IF(OR(INDEX($E$6:$E$55,MATCH(AN52,$A$6:$A$55,0))&gt;$E52,INDEX($F$6:$F$55,MATCH(AN52,$A$6:$A$55,0))&gt;$F52),1,0),1))</f>
        <v>0</v>
      </c>
      <c r="AS52" s="42" t="n">
        <f aca="false">IF(AO52="",0,IFERROR(IF(OR(INDEX($E$6:$E$55,MATCH(AO52,$A$6:$A$55,0))&gt;$E52,INDEX($F$6:$F$55,MATCH(AO52,$A$6:$A$55,0))&gt;$F52),1,0),1))</f>
        <v>0</v>
      </c>
      <c r="AT52" s="42" t="n">
        <f aca="false">IF(AP52="",0,IFERROR(IF(OR(INDEX($E$6:$E$55,MATCH(AP52,$A$6:$A$55,0))&gt;$E52,INDEX($F$6:$F$55,MATCH(AP52,$A$6:$A$55,0))&gt;$F52),1,0),1))</f>
        <v>0</v>
      </c>
    </row>
    <row r="53" customFormat="false" ht="15" hidden="false" customHeight="false" outlineLevel="0" collapsed="false">
      <c r="A53" s="29" t="s">
        <v>248</v>
      </c>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customFormat="false" ht="40.5" hidden="false" customHeight="true" outlineLevel="0" collapsed="false">
      <c r="A54" s="31" t="s">
        <v>249</v>
      </c>
      <c r="B54" s="32" t="s">
        <v>250</v>
      </c>
      <c r="C54" s="33" t="s">
        <v>22</v>
      </c>
      <c r="D54" s="32" t="s">
        <v>27</v>
      </c>
      <c r="E54" s="34" t="n">
        <v>21</v>
      </c>
      <c r="F54" s="34" t="n">
        <v>22</v>
      </c>
      <c r="G54" s="35" t="s">
        <v>251</v>
      </c>
      <c r="H54" s="36" t="n">
        <v>0</v>
      </c>
      <c r="I54" s="37" t="s">
        <v>91</v>
      </c>
      <c r="J54" s="44" t="s">
        <v>252</v>
      </c>
      <c r="K54" s="37" t="s">
        <v>93</v>
      </c>
      <c r="L54" s="33" t="s">
        <v>94</v>
      </c>
      <c r="M54" s="38" t="n">
        <f aca="false">F54-E54+1</f>
        <v>2</v>
      </c>
      <c r="N54" s="39" t="n">
        <f aca="false">IF(M54&lt;=0,0,H54/M54)</f>
        <v>0</v>
      </c>
      <c r="O54" s="38" t="n">
        <f aca="false">SUM(AQ54:AT54)+IF(LEN($G54)-LEN(SUBSTITUTE($G54,",",""))&gt;=4,1,0)</f>
        <v>0</v>
      </c>
      <c r="P54" s="40"/>
      <c r="Q54" s="40"/>
      <c r="R54" s="40"/>
      <c r="S54" s="40"/>
      <c r="T54" s="40"/>
      <c r="U54" s="40"/>
      <c r="V54" s="40"/>
      <c r="W54" s="40"/>
      <c r="X54" s="40"/>
      <c r="Y54" s="40"/>
      <c r="Z54" s="40"/>
      <c r="AA54" s="40"/>
      <c r="AB54" s="40"/>
      <c r="AC54" s="40"/>
      <c r="AD54" s="40"/>
      <c r="AE54" s="40"/>
      <c r="AF54" s="40"/>
      <c r="AG54" s="40"/>
      <c r="AH54" s="40"/>
      <c r="AI54" s="40"/>
      <c r="AJ54" s="40"/>
      <c r="AK54" s="40"/>
      <c r="AM54" s="41" t="str">
        <f aca="false">TRIM(MID(SUBSTITUTE($G54&amp;",",",",REPT(" ",99)),1,99))</f>
        <v>F9</v>
      </c>
      <c r="AN54" s="41" t="str">
        <f aca="false">TRIM(MID(SUBSTITUTE($G54&amp;",",",",REPT(" ",99)),100,99))</f>
        <v>F12</v>
      </c>
      <c r="AO54" s="41" t="str">
        <f aca="false">TRIM(MID(SUBSTITUTE($G54&amp;",",",",REPT(" ",99)),199,99))</f>
        <v/>
      </c>
      <c r="AP54" s="41" t="str">
        <f aca="false">TRIM(MID(SUBSTITUTE($G54&amp;",",",",REPT(" ",99)),298,99))</f>
        <v/>
      </c>
      <c r="AQ54" s="42" t="n">
        <f aca="false">IF(AM54="",0,IFERROR(IF(OR(INDEX($E$6:$E$55,MATCH(AM54,$A$6:$A$55,0))&gt;$E54,INDEX($F$6:$F$55,MATCH(AM54,$A$6:$A$55,0))&gt;$F54),1,0),1))</f>
        <v>0</v>
      </c>
      <c r="AR54" s="42" t="n">
        <f aca="false">IF(AN54="",0,IFERROR(IF(OR(INDEX($E$6:$E$55,MATCH(AN54,$A$6:$A$55,0))&gt;$E54,INDEX($F$6:$F$55,MATCH(AN54,$A$6:$A$55,0))&gt;$F54),1,0),1))</f>
        <v>0</v>
      </c>
      <c r="AS54" s="42" t="n">
        <f aca="false">IF(AO54="",0,IFERROR(IF(OR(INDEX($E$6:$E$55,MATCH(AO54,$A$6:$A$55,0))&gt;$E54,INDEX($F$6:$F$55,MATCH(AO54,$A$6:$A$55,0))&gt;$F54),1,0),1))</f>
        <v>0</v>
      </c>
      <c r="AT54" s="42" t="n">
        <f aca="false">IF(AP54="",0,IFERROR(IF(OR(INDEX($E$6:$E$55,MATCH(AP54,$A$6:$A$55,0))&gt;$E54,INDEX($F$6:$F$55,MATCH(AP54,$A$6:$A$55,0))&gt;$F54),1,0),1))</f>
        <v>0</v>
      </c>
    </row>
    <row r="55" customFormat="false" ht="40.5" hidden="false" customHeight="true" outlineLevel="0" collapsed="false">
      <c r="A55" s="31" t="s">
        <v>253</v>
      </c>
      <c r="B55" s="32" t="s">
        <v>254</v>
      </c>
      <c r="C55" s="33" t="s">
        <v>21</v>
      </c>
      <c r="D55" s="32" t="s">
        <v>22</v>
      </c>
      <c r="E55" s="34" t="n">
        <v>22</v>
      </c>
      <c r="F55" s="34" t="n">
        <v>22</v>
      </c>
      <c r="G55" s="35" t="s">
        <v>249</v>
      </c>
      <c r="H55" s="36" t="n">
        <v>0</v>
      </c>
      <c r="I55" s="37" t="s">
        <v>91</v>
      </c>
      <c r="J55" s="44" t="s">
        <v>255</v>
      </c>
      <c r="K55" s="37" t="s">
        <v>93</v>
      </c>
      <c r="L55" s="33" t="s">
        <v>94</v>
      </c>
      <c r="M55" s="38" t="n">
        <f aca="false">F55-E55+1</f>
        <v>1</v>
      </c>
      <c r="N55" s="39" t="n">
        <f aca="false">IF(M55&lt;=0,0,H55/M55)</f>
        <v>0</v>
      </c>
      <c r="O55" s="38" t="n">
        <f aca="false">SUM(AQ55:AT55)+IF(LEN($G55)-LEN(SUBSTITUTE($G55,",",""))&gt;=4,1,0)</f>
        <v>0</v>
      </c>
      <c r="P55" s="40"/>
      <c r="Q55" s="40"/>
      <c r="R55" s="40"/>
      <c r="S55" s="40"/>
      <c r="T55" s="40"/>
      <c r="U55" s="40"/>
      <c r="V55" s="40"/>
      <c r="W55" s="40"/>
      <c r="X55" s="40"/>
      <c r="Y55" s="40"/>
      <c r="Z55" s="40"/>
      <c r="AA55" s="40"/>
      <c r="AB55" s="40"/>
      <c r="AC55" s="40"/>
      <c r="AD55" s="40"/>
      <c r="AE55" s="40"/>
      <c r="AF55" s="40"/>
      <c r="AG55" s="40"/>
      <c r="AH55" s="40"/>
      <c r="AI55" s="40"/>
      <c r="AJ55" s="40"/>
      <c r="AK55" s="40"/>
      <c r="AM55" s="41" t="str">
        <f aca="false">TRIM(MID(SUBSTITUTE($G55&amp;",",",",REPT(" ",99)),1,99))</f>
        <v>G1</v>
      </c>
      <c r="AN55" s="41" t="str">
        <f aca="false">TRIM(MID(SUBSTITUTE($G55&amp;",",",",REPT(" ",99)),100,99))</f>
        <v/>
      </c>
      <c r="AO55" s="41" t="str">
        <f aca="false">TRIM(MID(SUBSTITUTE($G55&amp;",",",",REPT(" ",99)),199,99))</f>
        <v/>
      </c>
      <c r="AP55" s="41" t="str">
        <f aca="false">TRIM(MID(SUBSTITUTE($G55&amp;",",",",REPT(" ",99)),298,99))</f>
        <v/>
      </c>
      <c r="AQ55" s="42" t="n">
        <f aca="false">IF(AM55="",0,IFERROR(IF(OR(INDEX($E$6:$E$55,MATCH(AM55,$A$6:$A$55,0))&gt;$E55,INDEX($F$6:$F$55,MATCH(AM55,$A$6:$A$55,0))&gt;$F55),1,0),1))</f>
        <v>0</v>
      </c>
      <c r="AR55" s="42" t="n">
        <f aca="false">IF(AN55="",0,IFERROR(IF(OR(INDEX($E$6:$E$55,MATCH(AN55,$A$6:$A$55,0))&gt;$E55,INDEX($F$6:$F$55,MATCH(AN55,$A$6:$A$55,0))&gt;$F55),1,0),1))</f>
        <v>0</v>
      </c>
      <c r="AS55" s="42" t="n">
        <f aca="false">IF(AO55="",0,IFERROR(IF(OR(INDEX($E$6:$E$55,MATCH(AO55,$A$6:$A$55,0))&gt;$E55,INDEX($F$6:$F$55,MATCH(AO55,$A$6:$A$55,0))&gt;$F55),1,0),1))</f>
        <v>0</v>
      </c>
      <c r="AT55" s="42" t="n">
        <f aca="false">IF(AP55="",0,IFERROR(IF(OR(INDEX($E$6:$E$55,MATCH(AP55,$A$6:$A$55,0))&gt;$E55,INDEX($F$6:$F$55,MATCH(AP55,$A$6:$A$55,0))&gt;$F55),1,0),1))</f>
        <v>0</v>
      </c>
    </row>
    <row r="57" customFormat="false" ht="15" hidden="false" customHeight="false" outlineLevel="0" collapsed="false">
      <c r="A57" s="5" t="s">
        <v>256</v>
      </c>
    </row>
    <row r="58" customFormat="false" ht="15" hidden="false" customHeight="false" outlineLevel="0" collapsed="false">
      <c r="A58" s="26" t="s">
        <v>257</v>
      </c>
    </row>
    <row r="59" customFormat="false" ht="15" hidden="false" customHeight="false" outlineLevel="0" collapsed="false">
      <c r="A59" s="26" t="s">
        <v>258</v>
      </c>
    </row>
    <row r="60" customFormat="false" ht="15" hidden="false" customHeight="false" outlineLevel="0" collapsed="false">
      <c r="A60" s="26" t="s">
        <v>259</v>
      </c>
    </row>
    <row r="61" customFormat="false" ht="15" hidden="false" customHeight="false" outlineLevel="0" collapsed="false">
      <c r="A61" s="26" t="s">
        <v>260</v>
      </c>
    </row>
  </sheetData>
  <autoFilter ref="A5:O55"/>
  <conditionalFormatting sqref="P6:AK55">
    <cfRule type="expression" priority="2" aboveAverage="0" equalAverage="0" bottom="0" percent="0" rank="0" text="" dxfId="7">
      <formula>AND(P$5&gt;=$E6,P$5&lt;=$F6,$L6="Done")</formula>
    </cfRule>
    <cfRule type="expression" priority="3" aboveAverage="0" equalAverage="0" bottom="0" percent="0" rank="0" text="" dxfId="8">
      <formula>AND(P$5&gt;=$E6,P$5&lt;=$F6,$C6="Lucy")</formula>
    </cfRule>
    <cfRule type="expression" priority="4" aboveAverage="0" equalAverage="0" bottom="0" percent="0" rank="0" text="" dxfId="9">
      <formula>AND(P$5&gt;=$E6,P$5&lt;=$F6,$C6="Mark")</formula>
    </cfRule>
    <cfRule type="expression" priority="5" aboveAverage="0" equalAverage="0" bottom="0" percent="0" rank="0" text="" dxfId="10">
      <formula>AND(P$5&gt;=$E6,P$5&lt;=$F6,$C6="attorney")</formula>
    </cfRule>
    <cfRule type="expression" priority="6" aboveAverage="0" equalAverage="0" bottom="0" percent="0" rank="0" text="" dxfId="11">
      <formula>AND(P$5&gt;=$E6,P$5&lt;=$F6,$C6="broker")</formula>
    </cfRule>
    <cfRule type="expression" priority="7" aboveAverage="0" equalAverage="0" bottom="0" percent="0" rank="0" text="" dxfId="12">
      <formula>AND(P$5&gt;=$E6,P$5&lt;=$F6,$C6="factory")</formula>
    </cfRule>
    <cfRule type="expression" priority="8" aboveAverage="0" equalAverage="0" bottom="0" percent="0" rank="0" text="" dxfId="13">
      <formula>AND(P$5&gt;=$E6,P$5&lt;=$F6,$C6="3PL")</formula>
    </cfRule>
    <cfRule type="expression" priority="9" aboveAverage="0" equalAverage="0" bottom="0" percent="0" rank="0" text="" dxfId="14">
      <formula>AND(P$5&gt;=$E6,P$5&lt;=$F6,$C6="VA")</formula>
    </cfRule>
    <cfRule type="expression" priority="10" aboveAverage="0" equalAverage="0" bottom="0" percent="0" rank="0" text="" dxfId="15">
      <formula>AND(P$5&gt;=$E6,P$5&lt;=$F6)</formula>
    </cfRule>
    <cfRule type="expression" priority="11" aboveAverage="0" equalAverage="0" bottom="0" percent="0" rank="0" text="" dxfId="16">
      <formula>P$5=$C$3</formula>
    </cfRule>
  </conditionalFormatting>
  <conditionalFormatting sqref="A6:L55">
    <cfRule type="expression" priority="12" aboveAverage="0" equalAverage="0" bottom="0" percent="0" rank="0" text="" dxfId="17">
      <formula>$L6="Blocked"</formula>
    </cfRule>
    <cfRule type="expression" priority="13" aboveAverage="0" equalAverage="0" bottom="0" percent="0" rank="0" text="" dxfId="18">
      <formula>$L6="Done"</formula>
    </cfRule>
  </conditionalFormatting>
  <conditionalFormatting sqref="O6:O55">
    <cfRule type="expression" priority="14" aboveAverage="0" equalAverage="0" bottom="0" percent="0" rank="0" text="" dxfId="19">
      <formula>O6&gt;0</formula>
    </cfRule>
  </conditionalFormatting>
  <dataValidations count="2">
    <dataValidation allowBlank="true" error="Pick one of: Not started, In progress, Done, Blocked. The Done count, the green grid and the Costs tab read the exact word Done." errorStyle="stop" errorTitle="Status" operator="between" showDropDown="false" showErrorMessage="true" showInputMessage="false" sqref="L7:L20 L22:L32 L34:L39 L41:L52 L54:L55" type="list">
      <formula1>"Not started,In progress,Done,Blocked"</formula1>
      <formula2>0</formula2>
    </dataValidation>
    <dataValidation allowBlank="false" error="Pick one of: Lucy, Mark, attorney, broker, factory, 3PL, VA. The grid color and the Costs tab read the exact owner name." errorStyle="stop" errorTitle="Owner" operator="between" showDropDown="false" showErrorMessage="true" showInputMessage="false" sqref="C7:C20 C22:C32 C34:C39 C41:C52 C54:C55" type="list">
      <formula1>"Lucy,Mark,attorney,broker,factory,3PL,VA"</formula1>
      <formula2>0</formula2>
    </dataValidation>
  </dataValidations>
  <printOptions headings="false" gridLines="false" gridLinesSet="true" horizontalCentered="false" verticalCentered="false"/>
  <pageMargins left="0.25" right="0.25" top="0.4" bottom="0.4" header="0.511811023622047" footer="0.511811023622047"/>
  <pageSetup paperSize="3"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26" min="5" style="0" width="9"/>
  </cols>
  <sheetData>
    <row r="1" customFormat="false" ht="15" hidden="false" customHeight="false" outlineLevel="0" collapsed="false">
      <c r="A1" s="18" t="s">
        <v>261</v>
      </c>
    </row>
    <row r="2" customFormat="false" ht="15" hidden="false" customHeight="false" outlineLevel="0" collapsed="false">
      <c r="A2" s="2" t="s">
        <v>262</v>
      </c>
    </row>
    <row r="4" customFormat="false" ht="15" hidden="false" customHeight="false" outlineLevel="0" collapsed="false">
      <c r="A4" s="29" t="s">
        <v>263</v>
      </c>
      <c r="B4" s="45" t="s">
        <v>59</v>
      </c>
      <c r="C4" s="45" t="s">
        <v>74</v>
      </c>
      <c r="D4" s="45" t="s">
        <v>264</v>
      </c>
    </row>
    <row r="5" customFormat="false" ht="15" hidden="false" customHeight="false" outlineLevel="0" collapsed="false">
      <c r="A5" s="37" t="s">
        <v>21</v>
      </c>
      <c r="B5" s="46" t="n">
        <f aca="false">COUNTIF(GanttOwner,A5)</f>
        <v>15</v>
      </c>
      <c r="C5" s="47" t="n">
        <f aca="false">SUMIFS(GanttCost,GanttOwner,A5)</f>
        <v>28033.15</v>
      </c>
      <c r="D5" s="48" t="n">
        <f aca="false">IF($C$12=0,0,C5/$C$12)</f>
        <v>0.480799096754962</v>
      </c>
    </row>
    <row r="6" customFormat="false" ht="15" hidden="false" customHeight="false" outlineLevel="0" collapsed="false">
      <c r="A6" s="37" t="s">
        <v>22</v>
      </c>
      <c r="B6" s="46" t="n">
        <f aca="false">COUNTIF(GanttOwner,A6)</f>
        <v>12</v>
      </c>
      <c r="C6" s="47" t="n">
        <f aca="false">SUMIFS(GanttCost,GanttOwner,A6)</f>
        <v>4200</v>
      </c>
      <c r="D6" s="48" t="n">
        <f aca="false">IF($C$12=0,0,C6/$C$12)</f>
        <v>0.072034580715005</v>
      </c>
    </row>
    <row r="7" customFormat="false" ht="15" hidden="false" customHeight="false" outlineLevel="0" collapsed="false">
      <c r="A7" s="37" t="s">
        <v>23</v>
      </c>
      <c r="B7" s="46" t="n">
        <f aca="false">COUNTIF(GanttOwner,A7)</f>
        <v>4</v>
      </c>
      <c r="C7" s="47" t="n">
        <f aca="false">SUMIFS(GanttCost,GanttOwner,A7)</f>
        <v>2400</v>
      </c>
      <c r="D7" s="48" t="n">
        <f aca="false">IF($C$12=0,0,C7/$C$12)</f>
        <v>0.0411626175514314</v>
      </c>
    </row>
    <row r="8" customFormat="false" ht="15" hidden="false" customHeight="false" outlineLevel="0" collapsed="false">
      <c r="A8" s="37" t="s">
        <v>24</v>
      </c>
      <c r="B8" s="46" t="n">
        <f aca="false">COUNTIF(GanttOwner,A8)</f>
        <v>7</v>
      </c>
      <c r="C8" s="47" t="n">
        <f aca="false">SUMIFS(GanttCost,GanttOwner,A8)</f>
        <v>21972.18</v>
      </c>
      <c r="D8" s="48" t="n">
        <f aca="false">IF($C$12=0,0,C8/$C$12)</f>
        <v>0.376846850879671</v>
      </c>
    </row>
    <row r="9" customFormat="false" ht="15" hidden="false" customHeight="false" outlineLevel="0" collapsed="false">
      <c r="A9" s="37" t="s">
        <v>25</v>
      </c>
      <c r="B9" s="46" t="n">
        <f aca="false">COUNTIF(GanttOwner,A9)</f>
        <v>3</v>
      </c>
      <c r="C9" s="47" t="n">
        <f aca="false">SUMIFS(GanttCost,GanttOwner,A9)</f>
        <v>500</v>
      </c>
      <c r="D9" s="48" t="n">
        <f aca="false">IF($C$12=0,0,C9/$C$12)</f>
        <v>0.00857554532321488</v>
      </c>
    </row>
    <row r="10" customFormat="false" ht="15" hidden="false" customHeight="false" outlineLevel="0" collapsed="false">
      <c r="A10" s="37" t="s">
        <v>26</v>
      </c>
      <c r="B10" s="46" t="n">
        <f aca="false">COUNTIF(GanttOwner,A10)</f>
        <v>2</v>
      </c>
      <c r="C10" s="47" t="n">
        <f aca="false">SUMIFS(GanttCost,GanttOwner,A10)</f>
        <v>400</v>
      </c>
      <c r="D10" s="48" t="n">
        <f aca="false">IF($C$12=0,0,C10/$C$12)</f>
        <v>0.0068604362585719</v>
      </c>
    </row>
    <row r="11" customFormat="false" ht="15" hidden="false" customHeight="false" outlineLevel="0" collapsed="false">
      <c r="A11" s="37" t="s">
        <v>27</v>
      </c>
      <c r="B11" s="46" t="n">
        <f aca="false">COUNTIF(GanttOwner,A11)</f>
        <v>2</v>
      </c>
      <c r="C11" s="47" t="n">
        <f aca="false">SUMIFS(GanttCost,GanttOwner,A11)</f>
        <v>800</v>
      </c>
      <c r="D11" s="48" t="n">
        <f aca="false">IF($C$12=0,0,C11/$C$12)</f>
        <v>0.0137208725171438</v>
      </c>
    </row>
    <row r="12" customFormat="false" ht="15" hidden="false" customHeight="false" outlineLevel="0" collapsed="false">
      <c r="A12" s="49" t="s">
        <v>265</v>
      </c>
      <c r="B12" s="50" t="n">
        <f aca="false">SUM(B5:B11)</f>
        <v>45</v>
      </c>
      <c r="C12" s="51" t="n">
        <f aca="false">SUM(C5:C11)</f>
        <v>58305.33</v>
      </c>
      <c r="D12" s="52" t="n">
        <f aca="false">IF(C12=0,0,1)</f>
        <v>1</v>
      </c>
    </row>
    <row r="13" customFormat="false" ht="15" hidden="false" customHeight="false" outlineLevel="0" collapsed="false">
      <c r="A13" s="2" t="s">
        <v>266</v>
      </c>
      <c r="C13" s="47" t="n">
        <f aca="false">C12-GanttTotalCost</f>
        <v>0</v>
      </c>
    </row>
    <row r="15" customFormat="false" ht="30" hidden="false" customHeight="true" outlineLevel="0" collapsed="false">
      <c r="A15" s="29" t="s">
        <v>267</v>
      </c>
      <c r="B15" s="27" t="s">
        <v>59</v>
      </c>
      <c r="C15" s="27" t="s">
        <v>74</v>
      </c>
      <c r="D15" s="27" t="s">
        <v>268</v>
      </c>
      <c r="E15" s="27" t="s">
        <v>269</v>
      </c>
      <c r="F15" s="27" t="s">
        <v>270</v>
      </c>
    </row>
    <row r="16" customFormat="false" ht="27.75" hidden="false" customHeight="true" outlineLevel="0" collapsed="false">
      <c r="A16" s="37" t="s">
        <v>97</v>
      </c>
      <c r="B16" s="46" t="n">
        <f aca="false">COUNTIF(GanttType,A16)</f>
        <v>17</v>
      </c>
      <c r="C16" s="47" t="n">
        <f aca="false">SUMIFS(GanttCost,GanttType,A16)</f>
        <v>9500</v>
      </c>
      <c r="D16" s="53" t="n">
        <v>9500</v>
      </c>
      <c r="E16" s="53" t="n">
        <f aca="false">ROUND(C16-D16,0)</f>
        <v>0</v>
      </c>
      <c r="F16" s="32" t="s">
        <v>271</v>
      </c>
      <c r="G16" s="32"/>
      <c r="H16" s="32"/>
      <c r="I16" s="32"/>
      <c r="J16" s="32"/>
      <c r="K16" s="32"/>
      <c r="L16" s="32"/>
      <c r="M16" s="32"/>
      <c r="N16" s="32"/>
    </row>
    <row r="17" customFormat="false" ht="27.75" hidden="false" customHeight="true" outlineLevel="0" collapsed="false">
      <c r="A17" s="37" t="s">
        <v>168</v>
      </c>
      <c r="B17" s="46" t="n">
        <f aca="false">COUNTIF(GanttType,A17)</f>
        <v>7</v>
      </c>
      <c r="C17" s="47" t="n">
        <f aca="false">SUMIFS(GanttCost,GanttType,A17)</f>
        <v>44935.36</v>
      </c>
      <c r="D17" s="53" t="n">
        <v>44935.358974359</v>
      </c>
      <c r="E17" s="53" t="n">
        <f aca="false">ROUND(C17-D17,0)</f>
        <v>0</v>
      </c>
      <c r="F17" s="32" t="s">
        <v>272</v>
      </c>
      <c r="G17" s="32"/>
      <c r="H17" s="32"/>
      <c r="I17" s="32"/>
      <c r="J17" s="32"/>
      <c r="K17" s="32"/>
      <c r="L17" s="32"/>
      <c r="M17" s="32"/>
      <c r="N17" s="32"/>
    </row>
    <row r="18" customFormat="false" ht="27.75" hidden="false" customHeight="true" outlineLevel="0" collapsed="false">
      <c r="A18" s="37" t="s">
        <v>212</v>
      </c>
      <c r="B18" s="46" t="n">
        <f aca="false">COUNTIF(GanttType,A18)</f>
        <v>1</v>
      </c>
      <c r="C18" s="47" t="n">
        <f aca="false">SUMIFS(GanttCost,GanttType,A18)</f>
        <v>2669.97</v>
      </c>
      <c r="D18" s="53" t="n">
        <v>2669.97</v>
      </c>
      <c r="E18" s="53" t="n">
        <f aca="false">ROUND(C18-D18,0)</f>
        <v>0</v>
      </c>
      <c r="F18" s="32" t="s">
        <v>273</v>
      </c>
      <c r="G18" s="32"/>
      <c r="H18" s="32"/>
      <c r="I18" s="32"/>
      <c r="J18" s="32"/>
      <c r="K18" s="32"/>
      <c r="L18" s="32"/>
      <c r="M18" s="32"/>
      <c r="N18" s="32"/>
    </row>
    <row r="19" customFormat="false" ht="27.75" hidden="false" customHeight="true" outlineLevel="0" collapsed="false">
      <c r="A19" s="37" t="s">
        <v>243</v>
      </c>
      <c r="B19" s="46" t="n">
        <f aca="false">COUNTIF(GanttType,A19)</f>
        <v>1</v>
      </c>
      <c r="C19" s="47" t="n">
        <f aca="false">SUMIFS(GanttCost,GanttType,A19)</f>
        <v>1200</v>
      </c>
      <c r="D19" s="53" t="n">
        <v>1200</v>
      </c>
      <c r="E19" s="53" t="n">
        <f aca="false">ROUND(C19-D19,0)</f>
        <v>0</v>
      </c>
      <c r="F19" s="32" t="s">
        <v>274</v>
      </c>
      <c r="G19" s="32"/>
      <c r="H19" s="32"/>
      <c r="I19" s="32"/>
      <c r="J19" s="32"/>
      <c r="K19" s="32"/>
      <c r="L19" s="32"/>
      <c r="M19" s="32"/>
      <c r="N19" s="32"/>
    </row>
    <row r="20" customFormat="false" ht="27.75" hidden="false" customHeight="true" outlineLevel="0" collapsed="false">
      <c r="A20" s="37" t="s">
        <v>91</v>
      </c>
      <c r="B20" s="46" t="n">
        <f aca="false">COUNTIF(GanttType,A20)</f>
        <v>19</v>
      </c>
      <c r="C20" s="47" t="n">
        <f aca="false">SUMIFS(GanttCost,GanttType,A20)</f>
        <v>0</v>
      </c>
      <c r="D20" s="53" t="n">
        <v>0</v>
      </c>
      <c r="E20" s="53" t="n">
        <f aca="false">ROUND(C20-D20,0)</f>
        <v>0</v>
      </c>
      <c r="F20" s="32" t="s">
        <v>275</v>
      </c>
      <c r="G20" s="32"/>
      <c r="H20" s="32"/>
      <c r="I20" s="32"/>
      <c r="J20" s="32"/>
      <c r="K20" s="32"/>
      <c r="L20" s="32"/>
      <c r="M20" s="32"/>
      <c r="N20" s="32"/>
    </row>
    <row r="21" customFormat="false" ht="15" hidden="false" customHeight="false" outlineLevel="0" collapsed="false">
      <c r="A21" s="49" t="s">
        <v>276</v>
      </c>
      <c r="B21" s="50" t="n">
        <f aca="false">SUM(B16:B20)</f>
        <v>45</v>
      </c>
      <c r="C21" s="51" t="n">
        <f aca="false">SUM(C16:C20)</f>
        <v>58305.33</v>
      </c>
      <c r="D21" s="51" t="n">
        <f aca="false">SUM(D16:D20)</f>
        <v>58305.328974359</v>
      </c>
      <c r="E21" s="51" t="n">
        <f aca="false">ROUND(C21-D21,0)</f>
        <v>0</v>
      </c>
    </row>
    <row r="22" customFormat="false" ht="15" hidden="false" customHeight="false" outlineLevel="0" collapsed="false">
      <c r="A22" s="37" t="s">
        <v>277</v>
      </c>
      <c r="C22" s="47" t="n">
        <f aca="false">OpeningCapital</f>
        <v>39000</v>
      </c>
    </row>
    <row r="23" customFormat="false" ht="39.75" hidden="false" customHeight="true" outlineLevel="0" collapsed="false">
      <c r="A23" s="32" t="s">
        <v>278</v>
      </c>
      <c r="C23" s="53" t="n">
        <f aca="false">C21-OpeningCapital</f>
        <v>19305.33</v>
      </c>
      <c r="F23" s="54" t="s">
        <v>279</v>
      </c>
      <c r="G23" s="54"/>
      <c r="H23" s="54"/>
      <c r="I23" s="54"/>
      <c r="J23" s="54"/>
      <c r="K23" s="54"/>
      <c r="L23" s="54"/>
      <c r="M23" s="54"/>
      <c r="N23" s="54"/>
    </row>
    <row r="25" customFormat="false" ht="15" hidden="false" customHeight="false" outlineLevel="0" collapsed="false">
      <c r="A25" s="29" t="s">
        <v>280</v>
      </c>
      <c r="B25" s="45" t="s">
        <v>59</v>
      </c>
      <c r="C25" s="45" t="s">
        <v>74</v>
      </c>
      <c r="D25" s="45" t="s">
        <v>264</v>
      </c>
    </row>
    <row r="26" customFormat="false" ht="15" hidden="false" customHeight="false" outlineLevel="0" collapsed="false">
      <c r="A26" s="37" t="s">
        <v>93</v>
      </c>
      <c r="B26" s="46" t="n">
        <f aca="false">COUNTIF(GanttBasis,A26)</f>
        <v>27</v>
      </c>
      <c r="C26" s="47" t="n">
        <f aca="false">SUMIFS(GanttCost,GanttBasis,A26)</f>
        <v>48105.33</v>
      </c>
      <c r="D26" s="48" t="n">
        <f aca="false">IF(GanttTotalCost=0,0,C26/GanttTotalCost)</f>
        <v>0.825058875406417</v>
      </c>
    </row>
    <row r="27" customFormat="false" ht="15" hidden="false" customHeight="false" outlineLevel="0" collapsed="false">
      <c r="A27" s="37" t="s">
        <v>99</v>
      </c>
      <c r="B27" s="46" t="n">
        <f aca="false">COUNTIF(GanttBasis,A27)</f>
        <v>18</v>
      </c>
      <c r="C27" s="47" t="n">
        <f aca="false">SUMIFS(GanttCost,GanttBasis,A27)</f>
        <v>10200</v>
      </c>
      <c r="D27" s="48" t="n">
        <f aca="false">IF(GanttTotalCost=0,0,C27/GanttTotalCost)</f>
        <v>0.174941124593583</v>
      </c>
    </row>
    <row r="29" customFormat="false" ht="15" hidden="false" customHeight="false" outlineLevel="0" collapsed="false">
      <c r="A29" s="29" t="s">
        <v>281</v>
      </c>
    </row>
    <row r="30" customFormat="false" ht="15" hidden="false" customHeight="false" outlineLevel="0" collapsed="false">
      <c r="A30" s="55" t="s">
        <v>61</v>
      </c>
      <c r="B30" s="28" t="n">
        <v>1</v>
      </c>
      <c r="C30" s="28" t="n">
        <v>2</v>
      </c>
      <c r="D30" s="28" t="n">
        <v>3</v>
      </c>
      <c r="E30" s="28" t="n">
        <v>4</v>
      </c>
      <c r="F30" s="28" t="n">
        <v>5</v>
      </c>
      <c r="G30" s="28" t="n">
        <v>6</v>
      </c>
      <c r="H30" s="28" t="n">
        <v>7</v>
      </c>
      <c r="I30" s="28" t="n">
        <v>8</v>
      </c>
      <c r="J30" s="28" t="n">
        <v>9</v>
      </c>
      <c r="K30" s="28" t="n">
        <v>10</v>
      </c>
      <c r="L30" s="28" t="n">
        <v>11</v>
      </c>
      <c r="M30" s="28" t="n">
        <v>12</v>
      </c>
      <c r="N30" s="28" t="n">
        <v>13</v>
      </c>
      <c r="O30" s="28" t="n">
        <v>14</v>
      </c>
      <c r="P30" s="28" t="n">
        <v>15</v>
      </c>
      <c r="Q30" s="28" t="n">
        <v>16</v>
      </c>
      <c r="R30" s="28" t="n">
        <v>17</v>
      </c>
      <c r="S30" s="28" t="n">
        <v>18</v>
      </c>
      <c r="T30" s="28" t="n">
        <v>19</v>
      </c>
      <c r="U30" s="28" t="n">
        <v>20</v>
      </c>
      <c r="V30" s="28" t="n">
        <v>21</v>
      </c>
      <c r="W30" s="28" t="n">
        <v>22</v>
      </c>
      <c r="X30" s="45" t="s">
        <v>265</v>
      </c>
    </row>
    <row r="31" customFormat="false" ht="15" hidden="false" customHeight="false" outlineLevel="0" collapsed="false">
      <c r="A31" s="37" t="s">
        <v>282</v>
      </c>
      <c r="B31" s="47" t="n">
        <f aca="false">SUMIFS(GanttCostPerWeek,GanttStart,"&lt;="&amp;B$30,GanttEnd,"&gt;="&amp;B$30)</f>
        <v>2050</v>
      </c>
      <c r="C31" s="47" t="n">
        <f aca="false">SUMIFS(GanttCostPerWeek,GanttStart,"&lt;="&amp;C$30,GanttEnd,"&gt;="&amp;C$30)</f>
        <v>1975</v>
      </c>
      <c r="D31" s="47" t="n">
        <f aca="false">SUMIFS(GanttCostPerWeek,GanttStart,"&lt;="&amp;D$30,GanttEnd,"&gt;="&amp;D$30)</f>
        <v>758.333333333333</v>
      </c>
      <c r="E31" s="47" t="n">
        <f aca="false">SUMIFS(GanttCostPerWeek,GanttStart,"&lt;="&amp;E$30,GanttEnd,"&gt;="&amp;E$30)</f>
        <v>2501.14583333333</v>
      </c>
      <c r="F31" s="47" t="n">
        <f aca="false">SUMIFS(GanttCostPerWeek,GanttStart,"&lt;="&amp;F$30,GanttEnd,"&gt;="&amp;F$30)</f>
        <v>3217.8125</v>
      </c>
      <c r="G31" s="47" t="n">
        <f aca="false">SUMIFS(GanttCostPerWeek,GanttStart,"&lt;="&amp;G$30,GanttEnd,"&gt;="&amp;G$30)</f>
        <v>3184.47916666667</v>
      </c>
      <c r="H31" s="47" t="n">
        <f aca="false">SUMIFS(GanttCostPerWeek,GanttStart,"&lt;="&amp;H$30,GanttEnd,"&gt;="&amp;H$30)</f>
        <v>3084.47916666667</v>
      </c>
      <c r="I31" s="47" t="n">
        <f aca="false">SUMIFS(GanttCostPerWeek,GanttStart,"&lt;="&amp;I$30,GanttEnd,"&gt;="&amp;I$30)</f>
        <v>9411.08333333333</v>
      </c>
      <c r="J31" s="47" t="n">
        <f aca="false">SUMIFS(GanttCostPerWeek,GanttStart,"&lt;="&amp;J$30,GanttEnd,"&gt;="&amp;J$30)</f>
        <v>258.333333333333</v>
      </c>
      <c r="K31" s="47" t="n">
        <f aca="false">SUMIFS(GanttCostPerWeek,GanttStart,"&lt;="&amp;K$30,GanttEnd,"&gt;="&amp;K$30)</f>
        <v>1719.47897435897</v>
      </c>
      <c r="L31" s="47" t="n">
        <f aca="false">SUMIFS(GanttCostPerWeek,GanttStart,"&lt;="&amp;L$30,GanttEnd,"&gt;="&amp;L$30)</f>
        <v>1636.14564102564</v>
      </c>
      <c r="M31" s="47" t="n">
        <f aca="false">SUMIFS(GanttCostPerWeek,GanttStart,"&lt;="&amp;M$30,GanttEnd,"&gt;="&amp;M$30)</f>
        <v>2236.14564102564</v>
      </c>
      <c r="N31" s="47" t="n">
        <f aca="false">SUMIFS(GanttCostPerWeek,GanttStart,"&lt;="&amp;N$30,GanttEnd,"&gt;="&amp;N$30)</f>
        <v>805.382307692308</v>
      </c>
      <c r="O31" s="47" t="n">
        <f aca="false">SUMIFS(GanttCostPerWeek,GanttStart,"&lt;="&amp;O$30,GanttEnd,"&gt;="&amp;O$30)</f>
        <v>7024.91897435897</v>
      </c>
      <c r="P31" s="47" t="n">
        <f aca="false">SUMIFS(GanttCostPerWeek,GanttStart,"&lt;="&amp;P$30,GanttEnd,"&gt;="&amp;P$30)</f>
        <v>2033.80897435897</v>
      </c>
      <c r="Q31" s="47" t="n">
        <f aca="false">SUMIFS(GanttCostPerWeek,GanttStart,"&lt;="&amp;Q$30,GanttEnd,"&gt;="&amp;Q$30)</f>
        <v>2033.80897435897</v>
      </c>
      <c r="R31" s="47" t="n">
        <f aca="false">SUMIFS(GanttCostPerWeek,GanttStart,"&lt;="&amp;R$30,GanttEnd,"&gt;="&amp;R$30)</f>
        <v>205.382307692308</v>
      </c>
      <c r="S31" s="47" t="n">
        <f aca="false">SUMIFS(GanttCostPerWeek,GanttStart,"&lt;="&amp;S$30,GanttEnd,"&gt;="&amp;S$30)</f>
        <v>8274.79230769231</v>
      </c>
      <c r="T31" s="47" t="n">
        <f aca="false">SUMIFS(GanttCostPerWeek,GanttStart,"&lt;="&amp;T$30,GanttEnd,"&gt;="&amp;T$30)</f>
        <v>1896.47230769231</v>
      </c>
      <c r="U31" s="47" t="n">
        <f aca="false">SUMIFS(GanttCostPerWeek,GanttStart,"&lt;="&amp;U$30,GanttEnd,"&gt;="&amp;U$30)</f>
        <v>1896.47230769231</v>
      </c>
      <c r="V31" s="47" t="n">
        <f aca="false">SUMIFS(GanttCostPerWeek,GanttStart,"&lt;="&amp;V$30,GanttEnd,"&gt;="&amp;V$30)</f>
        <v>1896.47230769231</v>
      </c>
      <c r="W31" s="47" t="n">
        <f aca="false">SUMIFS(GanttCostPerWeek,GanttStart,"&lt;="&amp;W$30,GanttEnd,"&gt;="&amp;W$30)</f>
        <v>205.382307692308</v>
      </c>
      <c r="X31" s="56" t="n">
        <f aca="false">SUM(B31:W31)</f>
        <v>58305.33</v>
      </c>
    </row>
    <row r="32" customFormat="false" ht="15" hidden="false" customHeight="false" outlineLevel="0" collapsed="false">
      <c r="A32" s="37" t="s">
        <v>283</v>
      </c>
      <c r="B32" s="53" t="n">
        <f aca="false">SUM($B$31:B31)</f>
        <v>2050</v>
      </c>
      <c r="C32" s="53" t="n">
        <f aca="false">SUM($B$31:C31)</f>
        <v>4025</v>
      </c>
      <c r="D32" s="53" t="n">
        <f aca="false">SUM($B$31:D31)</f>
        <v>4783.33333333333</v>
      </c>
      <c r="E32" s="53" t="n">
        <f aca="false">SUM($B$31:E31)</f>
        <v>7284.47916666667</v>
      </c>
      <c r="F32" s="53" t="n">
        <f aca="false">SUM($B$31:F31)</f>
        <v>10502.2916666667</v>
      </c>
      <c r="G32" s="53" t="n">
        <f aca="false">SUM($B$31:G31)</f>
        <v>13686.7708333333</v>
      </c>
      <c r="H32" s="53" t="n">
        <f aca="false">SUM($B$31:H31)</f>
        <v>16771.25</v>
      </c>
      <c r="I32" s="53" t="n">
        <f aca="false">SUM($B$31:I31)</f>
        <v>26182.3333333333</v>
      </c>
      <c r="J32" s="53" t="n">
        <f aca="false">SUM($B$31:J31)</f>
        <v>26440.6666666667</v>
      </c>
      <c r="K32" s="53" t="n">
        <f aca="false">SUM($B$31:K31)</f>
        <v>28160.1456410256</v>
      </c>
      <c r="L32" s="53" t="n">
        <f aca="false">SUM($B$31:L31)</f>
        <v>29796.2912820513</v>
      </c>
      <c r="M32" s="53" t="n">
        <f aca="false">SUM($B$31:M31)</f>
        <v>32032.4369230769</v>
      </c>
      <c r="N32" s="53" t="n">
        <f aca="false">SUM($B$31:N31)</f>
        <v>32837.8192307692</v>
      </c>
      <c r="O32" s="53" t="n">
        <f aca="false">SUM($B$31:O31)</f>
        <v>39862.7382051282</v>
      </c>
      <c r="P32" s="53" t="n">
        <f aca="false">SUM($B$31:P31)</f>
        <v>41896.5471794872</v>
      </c>
      <c r="Q32" s="53" t="n">
        <f aca="false">SUM($B$31:Q31)</f>
        <v>43930.3561538462</v>
      </c>
      <c r="R32" s="53" t="n">
        <f aca="false">SUM($B$31:R31)</f>
        <v>44135.7384615385</v>
      </c>
      <c r="S32" s="53" t="n">
        <f aca="false">SUM($B$31:S31)</f>
        <v>52410.5307692308</v>
      </c>
      <c r="T32" s="53" t="n">
        <f aca="false">SUM($B$31:T31)</f>
        <v>54307.0030769231</v>
      </c>
      <c r="U32" s="53" t="n">
        <f aca="false">SUM($B$31:U31)</f>
        <v>56203.4753846154</v>
      </c>
      <c r="V32" s="53" t="n">
        <f aca="false">SUM($B$31:V31)</f>
        <v>58099.9476923077</v>
      </c>
      <c r="W32" s="53" t="n">
        <f aca="false">SUM($B$31:W31)</f>
        <v>58305.33</v>
      </c>
    </row>
    <row r="33" customFormat="false" ht="15" hidden="false" customHeight="false" outlineLevel="0" collapsed="false">
      <c r="A33" s="37" t="s">
        <v>284</v>
      </c>
      <c r="B33" s="53" t="n">
        <f aca="false">OpeningCapital-B32</f>
        <v>36950</v>
      </c>
      <c r="C33" s="53" t="n">
        <f aca="false">OpeningCapital-C32</f>
        <v>34975</v>
      </c>
      <c r="D33" s="53" t="n">
        <f aca="false">OpeningCapital-D32</f>
        <v>34216.6666666667</v>
      </c>
      <c r="E33" s="53" t="n">
        <f aca="false">OpeningCapital-E32</f>
        <v>31715.5208333333</v>
      </c>
      <c r="F33" s="53" t="n">
        <f aca="false">OpeningCapital-F32</f>
        <v>28497.7083333333</v>
      </c>
      <c r="G33" s="53" t="n">
        <f aca="false">OpeningCapital-G32</f>
        <v>25313.2291666667</v>
      </c>
      <c r="H33" s="53" t="n">
        <f aca="false">OpeningCapital-H32</f>
        <v>22228.75</v>
      </c>
      <c r="I33" s="53" t="n">
        <f aca="false">OpeningCapital-I32</f>
        <v>12817.6666666667</v>
      </c>
      <c r="J33" s="53" t="n">
        <f aca="false">OpeningCapital-J32</f>
        <v>12559.3333333333</v>
      </c>
      <c r="K33" s="53" t="n">
        <f aca="false">OpeningCapital-K32</f>
        <v>10839.8543589744</v>
      </c>
      <c r="L33" s="53" t="n">
        <f aca="false">OpeningCapital-L32</f>
        <v>9203.70871794872</v>
      </c>
      <c r="M33" s="53" t="n">
        <f aca="false">OpeningCapital-M32</f>
        <v>6967.56307692308</v>
      </c>
      <c r="N33" s="53" t="n">
        <f aca="false">OpeningCapital-N32</f>
        <v>6162.18076923077</v>
      </c>
      <c r="O33" s="53" t="n">
        <f aca="false">OpeningCapital-O32</f>
        <v>-862.738205128204</v>
      </c>
      <c r="P33" s="53" t="n">
        <f aca="false">OpeningCapital-P32</f>
        <v>-2896.54717948718</v>
      </c>
      <c r="Q33" s="53" t="n">
        <f aca="false">OpeningCapital-Q32</f>
        <v>-4930.35615384615</v>
      </c>
      <c r="R33" s="53" t="n">
        <f aca="false">OpeningCapital-R32</f>
        <v>-5135.73846153846</v>
      </c>
      <c r="S33" s="53" t="n">
        <f aca="false">OpeningCapital-S32</f>
        <v>-13410.5307692308</v>
      </c>
      <c r="T33" s="53" t="n">
        <f aca="false">OpeningCapital-T32</f>
        <v>-15307.0030769231</v>
      </c>
      <c r="U33" s="53" t="n">
        <f aca="false">OpeningCapital-U32</f>
        <v>-17203.4753846154</v>
      </c>
      <c r="V33" s="53" t="n">
        <f aca="false">OpeningCapital-V32</f>
        <v>-19099.9476923077</v>
      </c>
      <c r="W33" s="53" t="n">
        <f aca="false">OpeningCapital-W32</f>
        <v>-19305.33</v>
      </c>
    </row>
    <row r="34" customFormat="false" ht="15" hidden="false" customHeight="false" outlineLevel="0" collapsed="false">
      <c r="A34" s="2" t="s">
        <v>285</v>
      </c>
      <c r="X34" s="47" t="n">
        <f aca="false">X31-GanttTotalCost</f>
        <v>0</v>
      </c>
    </row>
    <row r="35" customFormat="false" ht="15" hidden="false" customHeight="false" outlineLevel="0" collapsed="false">
      <c r="A35" s="37" t="s">
        <v>286</v>
      </c>
      <c r="B35" s="41" t="s">
        <v>287</v>
      </c>
      <c r="C35" s="41" t="s">
        <v>287</v>
      </c>
      <c r="D35" s="41" t="s">
        <v>287</v>
      </c>
      <c r="E35" s="41" t="s">
        <v>287</v>
      </c>
      <c r="F35" s="41" t="s">
        <v>287</v>
      </c>
      <c r="G35" s="41" t="s">
        <v>287</v>
      </c>
      <c r="H35" s="41" t="s">
        <v>287</v>
      </c>
      <c r="I35" s="41" t="s">
        <v>287</v>
      </c>
      <c r="J35" s="41" t="s">
        <v>287</v>
      </c>
      <c r="K35" s="41" t="s">
        <v>288</v>
      </c>
      <c r="L35" s="41" t="s">
        <v>288</v>
      </c>
      <c r="M35" s="41" t="s">
        <v>288</v>
      </c>
      <c r="N35" s="41" t="s">
        <v>288</v>
      </c>
      <c r="O35" s="41" t="s">
        <v>289</v>
      </c>
      <c r="P35" s="41" t="s">
        <v>289</v>
      </c>
      <c r="Q35" s="41" t="s">
        <v>289</v>
      </c>
      <c r="R35" s="41" t="s">
        <v>289</v>
      </c>
      <c r="S35" s="41" t="s">
        <v>290</v>
      </c>
      <c r="T35" s="41" t="s">
        <v>290</v>
      </c>
      <c r="U35" s="41" t="s">
        <v>290</v>
      </c>
      <c r="V35" s="41" t="s">
        <v>290</v>
      </c>
      <c r="W35" s="41" t="s">
        <v>290</v>
      </c>
    </row>
    <row r="37" customFormat="false" ht="15" hidden="false" customHeight="false" outlineLevel="0" collapsed="false">
      <c r="A37" s="29" t="s">
        <v>291</v>
      </c>
    </row>
    <row r="38" customFormat="false" ht="15" hidden="false" customHeight="false" outlineLevel="0" collapsed="false">
      <c r="A38" s="55" t="s">
        <v>69</v>
      </c>
      <c r="B38" s="28" t="n">
        <v>1</v>
      </c>
      <c r="C38" s="28" t="n">
        <v>2</v>
      </c>
      <c r="D38" s="28" t="n">
        <v>3</v>
      </c>
      <c r="E38" s="28" t="n">
        <v>4</v>
      </c>
      <c r="F38" s="28" t="n">
        <v>5</v>
      </c>
      <c r="G38" s="28" t="n">
        <v>6</v>
      </c>
      <c r="H38" s="28" t="n">
        <v>7</v>
      </c>
      <c r="I38" s="28" t="n">
        <v>8</v>
      </c>
      <c r="J38" s="28" t="n">
        <v>9</v>
      </c>
      <c r="K38" s="28" t="n">
        <v>10</v>
      </c>
      <c r="L38" s="28" t="n">
        <v>11</v>
      </c>
      <c r="M38" s="28" t="n">
        <v>12</v>
      </c>
      <c r="N38" s="28" t="n">
        <v>13</v>
      </c>
      <c r="O38" s="28" t="n">
        <v>14</v>
      </c>
      <c r="P38" s="28" t="n">
        <v>15</v>
      </c>
      <c r="Q38" s="28" t="n">
        <v>16</v>
      </c>
      <c r="R38" s="28" t="n">
        <v>17</v>
      </c>
      <c r="S38" s="28" t="n">
        <v>18</v>
      </c>
      <c r="T38" s="28" t="n">
        <v>19</v>
      </c>
      <c r="U38" s="28" t="n">
        <v>20</v>
      </c>
      <c r="V38" s="28" t="n">
        <v>21</v>
      </c>
      <c r="W38" s="28" t="n">
        <v>22</v>
      </c>
      <c r="X38" s="45" t="s">
        <v>265</v>
      </c>
    </row>
    <row r="39" customFormat="false" ht="15" hidden="false" customHeight="false" outlineLevel="0" collapsed="false">
      <c r="A39" s="6" t="s">
        <v>21</v>
      </c>
      <c r="B39" s="47" t="n">
        <f aca="false">SUMIFS(GanttCostPerWeek,GanttOwner,$A39,GanttStart,"&lt;="&amp;B$38,GanttEnd,"&gt;="&amp;B$38)</f>
        <v>150</v>
      </c>
      <c r="C39" s="47" t="n">
        <f aca="false">SUMIFS(GanttCostPerWeek,GanttOwner,$A39,GanttStart,"&lt;="&amp;C$38,GanttEnd,"&gt;="&amp;C$38)</f>
        <v>275</v>
      </c>
      <c r="D39" s="47" t="n">
        <f aca="false">SUMIFS(GanttCostPerWeek,GanttOwner,$A39,GanttStart,"&lt;="&amp;D$38,GanttEnd,"&gt;="&amp;D$38)</f>
        <v>258.333333333333</v>
      </c>
      <c r="E39" s="47" t="n">
        <f aca="false">SUMIFS(GanttCostPerWeek,GanttOwner,$A39,GanttStart,"&lt;="&amp;E$38,GanttEnd,"&gt;="&amp;E$38)</f>
        <v>2101.14583333333</v>
      </c>
      <c r="F39" s="47" t="n">
        <f aca="false">SUMIFS(GanttCostPerWeek,GanttOwner,$A39,GanttStart,"&lt;="&amp;F$38,GanttEnd,"&gt;="&amp;F$38)</f>
        <v>2101.14583333333</v>
      </c>
      <c r="G39" s="47" t="n">
        <f aca="false">SUMIFS(GanttCostPerWeek,GanttOwner,$A39,GanttStart,"&lt;="&amp;G$38,GanttEnd,"&gt;="&amp;G$38)</f>
        <v>1967.8125</v>
      </c>
      <c r="H39" s="47" t="n">
        <f aca="false">SUMIFS(GanttCostPerWeek,GanttOwner,$A39,GanttStart,"&lt;="&amp;H$38,GanttEnd,"&gt;="&amp;H$38)</f>
        <v>1967.8125</v>
      </c>
      <c r="I39" s="47" t="n">
        <f aca="false">SUMIFS(GanttCostPerWeek,GanttOwner,$A39,GanttStart,"&lt;="&amp;I$38,GanttEnd,"&gt;="&amp;I$38)</f>
        <v>0</v>
      </c>
      <c r="J39" s="47" t="n">
        <f aca="false">SUMIFS(GanttCostPerWeek,GanttOwner,$A39,GanttStart,"&lt;="&amp;J$38,GanttEnd,"&gt;="&amp;J$38)</f>
        <v>0</v>
      </c>
      <c r="K39" s="47" t="n">
        <f aca="false">SUMIFS(GanttCostPerWeek,GanttOwner,$A39,GanttStart,"&lt;="&amp;K$38,GanttEnd,"&gt;="&amp;K$38)</f>
        <v>1636.14564102564</v>
      </c>
      <c r="L39" s="47" t="n">
        <f aca="false">SUMIFS(GanttCostPerWeek,GanttOwner,$A39,GanttStart,"&lt;="&amp;L$38,GanttEnd,"&gt;="&amp;L$38)</f>
        <v>1636.14564102564</v>
      </c>
      <c r="M39" s="47" t="n">
        <f aca="false">SUMIFS(GanttCostPerWeek,GanttOwner,$A39,GanttStart,"&lt;="&amp;M$38,GanttEnd,"&gt;="&amp;M$38)</f>
        <v>1636.14564102564</v>
      </c>
      <c r="N39" s="47" t="n">
        <f aca="false">SUMIFS(GanttCostPerWeek,GanttOwner,$A39,GanttStart,"&lt;="&amp;N$38,GanttEnd,"&gt;="&amp;N$38)</f>
        <v>205.382307692308</v>
      </c>
      <c r="O39" s="47" t="n">
        <f aca="false">SUMIFS(GanttCostPerWeek,GanttOwner,$A39,GanttStart,"&lt;="&amp;O$38,GanttEnd,"&gt;="&amp;O$38)</f>
        <v>2033.80897435897</v>
      </c>
      <c r="P39" s="47" t="n">
        <f aca="false">SUMIFS(GanttCostPerWeek,GanttOwner,$A39,GanttStart,"&lt;="&amp;P$38,GanttEnd,"&gt;="&amp;P$38)</f>
        <v>2033.80897435897</v>
      </c>
      <c r="Q39" s="47" t="n">
        <f aca="false">SUMIFS(GanttCostPerWeek,GanttOwner,$A39,GanttStart,"&lt;="&amp;Q$38,GanttEnd,"&gt;="&amp;Q$38)</f>
        <v>2033.80897435897</v>
      </c>
      <c r="R39" s="47" t="n">
        <f aca="false">SUMIFS(GanttCostPerWeek,GanttOwner,$A39,GanttStart,"&lt;="&amp;R$38,GanttEnd,"&gt;="&amp;R$38)</f>
        <v>205.382307692308</v>
      </c>
      <c r="S39" s="47" t="n">
        <f aca="false">SUMIFS(GanttCostPerWeek,GanttOwner,$A39,GanttStart,"&lt;="&amp;S$38,GanttEnd,"&gt;="&amp;S$38)</f>
        <v>1896.47230769231</v>
      </c>
      <c r="T39" s="47" t="n">
        <f aca="false">SUMIFS(GanttCostPerWeek,GanttOwner,$A39,GanttStart,"&lt;="&amp;T$38,GanttEnd,"&gt;="&amp;T$38)</f>
        <v>1896.47230769231</v>
      </c>
      <c r="U39" s="47" t="n">
        <f aca="false">SUMIFS(GanttCostPerWeek,GanttOwner,$A39,GanttStart,"&lt;="&amp;U$38,GanttEnd,"&gt;="&amp;U$38)</f>
        <v>1896.47230769231</v>
      </c>
      <c r="V39" s="47" t="n">
        <f aca="false">SUMIFS(GanttCostPerWeek,GanttOwner,$A39,GanttStart,"&lt;="&amp;V$38,GanttEnd,"&gt;="&amp;V$38)</f>
        <v>1896.47230769231</v>
      </c>
      <c r="W39" s="47" t="n">
        <f aca="false">SUMIFS(GanttCostPerWeek,GanttOwner,$A39,GanttStart,"&lt;="&amp;W$38,GanttEnd,"&gt;="&amp;W$38)</f>
        <v>205.382307692308</v>
      </c>
      <c r="X39" s="56" t="n">
        <f aca="false">SUM(B39:W39)</f>
        <v>28033.15</v>
      </c>
    </row>
    <row r="40" customFormat="false" ht="15" hidden="false" customHeight="false" outlineLevel="0" collapsed="false">
      <c r="A40" s="7" t="s">
        <v>22</v>
      </c>
      <c r="B40" s="47" t="n">
        <f aca="false">SUMIFS(GanttCostPerWeek,GanttOwner,$A40,GanttStart,"&lt;="&amp;B$38,GanttEnd,"&gt;="&amp;B$38)</f>
        <v>0</v>
      </c>
      <c r="C40" s="47" t="n">
        <f aca="false">SUMIFS(GanttCostPerWeek,GanttOwner,$A40,GanttStart,"&lt;="&amp;C$38,GanttEnd,"&gt;="&amp;C$38)</f>
        <v>0</v>
      </c>
      <c r="D40" s="47" t="n">
        <f aca="false">SUMIFS(GanttCostPerWeek,GanttOwner,$A40,GanttStart,"&lt;="&amp;D$38,GanttEnd,"&gt;="&amp;D$38)</f>
        <v>0</v>
      </c>
      <c r="E40" s="47" t="n">
        <f aca="false">SUMIFS(GanttCostPerWeek,GanttOwner,$A40,GanttStart,"&lt;="&amp;E$38,GanttEnd,"&gt;="&amp;E$38)</f>
        <v>150</v>
      </c>
      <c r="F40" s="47" t="n">
        <f aca="false">SUMIFS(GanttCostPerWeek,GanttOwner,$A40,GanttStart,"&lt;="&amp;F$38,GanttEnd,"&gt;="&amp;F$38)</f>
        <v>916.666666666667</v>
      </c>
      <c r="G40" s="47" t="n">
        <f aca="false">SUMIFS(GanttCostPerWeek,GanttOwner,$A40,GanttStart,"&lt;="&amp;G$38,GanttEnd,"&gt;="&amp;G$38)</f>
        <v>766.666666666667</v>
      </c>
      <c r="H40" s="47" t="n">
        <f aca="false">SUMIFS(GanttCostPerWeek,GanttOwner,$A40,GanttStart,"&lt;="&amp;H$38,GanttEnd,"&gt;="&amp;H$38)</f>
        <v>766.666666666667</v>
      </c>
      <c r="I40" s="47" t="n">
        <f aca="false">SUMIFS(GanttCostPerWeek,GanttOwner,$A40,GanttStart,"&lt;="&amp;I$38,GanttEnd,"&gt;="&amp;I$38)</f>
        <v>158.333333333333</v>
      </c>
      <c r="J40" s="47" t="n">
        <f aca="false">SUMIFS(GanttCostPerWeek,GanttOwner,$A40,GanttStart,"&lt;="&amp;J$38,GanttEnd,"&gt;="&amp;J$38)</f>
        <v>158.333333333333</v>
      </c>
      <c r="K40" s="47" t="n">
        <f aca="false">SUMIFS(GanttCostPerWeek,GanttOwner,$A40,GanttStart,"&lt;="&amp;K$38,GanttEnd,"&gt;="&amp;K$38)</f>
        <v>83.3333333333333</v>
      </c>
      <c r="L40" s="47" t="n">
        <f aca="false">SUMIFS(GanttCostPerWeek,GanttOwner,$A40,GanttStart,"&lt;="&amp;L$38,GanttEnd,"&gt;="&amp;L$38)</f>
        <v>0</v>
      </c>
      <c r="M40" s="47" t="n">
        <f aca="false">SUMIFS(GanttCostPerWeek,GanttOwner,$A40,GanttStart,"&lt;="&amp;M$38,GanttEnd,"&gt;="&amp;M$38)</f>
        <v>600</v>
      </c>
      <c r="N40" s="47" t="n">
        <f aca="false">SUMIFS(GanttCostPerWeek,GanttOwner,$A40,GanttStart,"&lt;="&amp;N$38,GanttEnd,"&gt;="&amp;N$38)</f>
        <v>600</v>
      </c>
      <c r="O40" s="47" t="n">
        <f aca="false">SUMIFS(GanttCostPerWeek,GanttOwner,$A40,GanttStart,"&lt;="&amp;O$38,GanttEnd,"&gt;="&amp;O$38)</f>
        <v>0</v>
      </c>
      <c r="P40" s="47" t="n">
        <f aca="false">SUMIFS(GanttCostPerWeek,GanttOwner,$A40,GanttStart,"&lt;="&amp;P$38,GanttEnd,"&gt;="&amp;P$38)</f>
        <v>0</v>
      </c>
      <c r="Q40" s="47" t="n">
        <f aca="false">SUMIFS(GanttCostPerWeek,GanttOwner,$A40,GanttStart,"&lt;="&amp;Q$38,GanttEnd,"&gt;="&amp;Q$38)</f>
        <v>0</v>
      </c>
      <c r="R40" s="47" t="n">
        <f aca="false">SUMIFS(GanttCostPerWeek,GanttOwner,$A40,GanttStart,"&lt;="&amp;R$38,GanttEnd,"&gt;="&amp;R$38)</f>
        <v>0</v>
      </c>
      <c r="S40" s="47" t="n">
        <f aca="false">SUMIFS(GanttCostPerWeek,GanttOwner,$A40,GanttStart,"&lt;="&amp;S$38,GanttEnd,"&gt;="&amp;S$38)</f>
        <v>0</v>
      </c>
      <c r="T40" s="47" t="n">
        <f aca="false">SUMIFS(GanttCostPerWeek,GanttOwner,$A40,GanttStart,"&lt;="&amp;T$38,GanttEnd,"&gt;="&amp;T$38)</f>
        <v>0</v>
      </c>
      <c r="U40" s="47" t="n">
        <f aca="false">SUMIFS(GanttCostPerWeek,GanttOwner,$A40,GanttStart,"&lt;="&amp;U$38,GanttEnd,"&gt;="&amp;U$38)</f>
        <v>0</v>
      </c>
      <c r="V40" s="47" t="n">
        <f aca="false">SUMIFS(GanttCostPerWeek,GanttOwner,$A40,GanttStart,"&lt;="&amp;V$38,GanttEnd,"&gt;="&amp;V$38)</f>
        <v>0</v>
      </c>
      <c r="W40" s="47" t="n">
        <f aca="false">SUMIFS(GanttCostPerWeek,GanttOwner,$A40,GanttStart,"&lt;="&amp;W$38,GanttEnd,"&gt;="&amp;W$38)</f>
        <v>0</v>
      </c>
      <c r="X40" s="56" t="n">
        <f aca="false">SUM(B40:W40)</f>
        <v>4200</v>
      </c>
    </row>
    <row r="41" customFormat="false" ht="15" hidden="false" customHeight="false" outlineLevel="0" collapsed="false">
      <c r="A41" s="8" t="s">
        <v>23</v>
      </c>
      <c r="B41" s="47" t="n">
        <f aca="false">SUMIFS(GanttCostPerWeek,GanttOwner,$A41,GanttStart,"&lt;="&amp;B$38,GanttEnd,"&gt;="&amp;B$38)</f>
        <v>950</v>
      </c>
      <c r="C41" s="47" t="n">
        <f aca="false">SUMIFS(GanttCostPerWeek,GanttOwner,$A41,GanttStart,"&lt;="&amp;C$38,GanttEnd,"&gt;="&amp;C$38)</f>
        <v>1200</v>
      </c>
      <c r="D41" s="47" t="n">
        <f aca="false">SUMIFS(GanttCostPerWeek,GanttOwner,$A41,GanttStart,"&lt;="&amp;D$38,GanttEnd,"&gt;="&amp;D$38)</f>
        <v>250</v>
      </c>
      <c r="E41" s="47" t="n">
        <f aca="false">SUMIFS(GanttCostPerWeek,GanttOwner,$A41,GanttStart,"&lt;="&amp;E$38,GanttEnd,"&gt;="&amp;E$38)</f>
        <v>0</v>
      </c>
      <c r="F41" s="47" t="n">
        <f aca="false">SUMIFS(GanttCostPerWeek,GanttOwner,$A41,GanttStart,"&lt;="&amp;F$38,GanttEnd,"&gt;="&amp;F$38)</f>
        <v>0</v>
      </c>
      <c r="G41" s="47" t="n">
        <f aca="false">SUMIFS(GanttCostPerWeek,GanttOwner,$A41,GanttStart,"&lt;="&amp;G$38,GanttEnd,"&gt;="&amp;G$38)</f>
        <v>0</v>
      </c>
      <c r="H41" s="47" t="n">
        <f aca="false">SUMIFS(GanttCostPerWeek,GanttOwner,$A41,GanttStart,"&lt;="&amp;H$38,GanttEnd,"&gt;="&amp;H$38)</f>
        <v>0</v>
      </c>
      <c r="I41" s="47" t="n">
        <f aca="false">SUMIFS(GanttCostPerWeek,GanttOwner,$A41,GanttStart,"&lt;="&amp;I$38,GanttEnd,"&gt;="&amp;I$38)</f>
        <v>0</v>
      </c>
      <c r="J41" s="47" t="n">
        <f aca="false">SUMIFS(GanttCostPerWeek,GanttOwner,$A41,GanttStart,"&lt;="&amp;J$38,GanttEnd,"&gt;="&amp;J$38)</f>
        <v>0</v>
      </c>
      <c r="K41" s="47" t="n">
        <f aca="false">SUMIFS(GanttCostPerWeek,GanttOwner,$A41,GanttStart,"&lt;="&amp;K$38,GanttEnd,"&gt;="&amp;K$38)</f>
        <v>0</v>
      </c>
      <c r="L41" s="47" t="n">
        <f aca="false">SUMIFS(GanttCostPerWeek,GanttOwner,$A41,GanttStart,"&lt;="&amp;L$38,GanttEnd,"&gt;="&amp;L$38)</f>
        <v>0</v>
      </c>
      <c r="M41" s="47" t="n">
        <f aca="false">SUMIFS(GanttCostPerWeek,GanttOwner,$A41,GanttStart,"&lt;="&amp;M$38,GanttEnd,"&gt;="&amp;M$38)</f>
        <v>0</v>
      </c>
      <c r="N41" s="47" t="n">
        <f aca="false">SUMIFS(GanttCostPerWeek,GanttOwner,$A41,GanttStart,"&lt;="&amp;N$38,GanttEnd,"&gt;="&amp;N$38)</f>
        <v>0</v>
      </c>
      <c r="O41" s="47" t="n">
        <f aca="false">SUMIFS(GanttCostPerWeek,GanttOwner,$A41,GanttStart,"&lt;="&amp;O$38,GanttEnd,"&gt;="&amp;O$38)</f>
        <v>0</v>
      </c>
      <c r="P41" s="47" t="n">
        <f aca="false">SUMIFS(GanttCostPerWeek,GanttOwner,$A41,GanttStart,"&lt;="&amp;P$38,GanttEnd,"&gt;="&amp;P$38)</f>
        <v>0</v>
      </c>
      <c r="Q41" s="47" t="n">
        <f aca="false">SUMIFS(GanttCostPerWeek,GanttOwner,$A41,GanttStart,"&lt;="&amp;Q$38,GanttEnd,"&gt;="&amp;Q$38)</f>
        <v>0</v>
      </c>
      <c r="R41" s="47" t="n">
        <f aca="false">SUMIFS(GanttCostPerWeek,GanttOwner,$A41,GanttStart,"&lt;="&amp;R$38,GanttEnd,"&gt;="&amp;R$38)</f>
        <v>0</v>
      </c>
      <c r="S41" s="47" t="n">
        <f aca="false">SUMIFS(GanttCostPerWeek,GanttOwner,$A41,GanttStart,"&lt;="&amp;S$38,GanttEnd,"&gt;="&amp;S$38)</f>
        <v>0</v>
      </c>
      <c r="T41" s="47" t="n">
        <f aca="false">SUMIFS(GanttCostPerWeek,GanttOwner,$A41,GanttStart,"&lt;="&amp;T$38,GanttEnd,"&gt;="&amp;T$38)</f>
        <v>0</v>
      </c>
      <c r="U41" s="47" t="n">
        <f aca="false">SUMIFS(GanttCostPerWeek,GanttOwner,$A41,GanttStart,"&lt;="&amp;U$38,GanttEnd,"&gt;="&amp;U$38)</f>
        <v>0</v>
      </c>
      <c r="V41" s="47" t="n">
        <f aca="false">SUMIFS(GanttCostPerWeek,GanttOwner,$A41,GanttStart,"&lt;="&amp;V$38,GanttEnd,"&gt;="&amp;V$38)</f>
        <v>0</v>
      </c>
      <c r="W41" s="47" t="n">
        <f aca="false">SUMIFS(GanttCostPerWeek,GanttOwner,$A41,GanttStart,"&lt;="&amp;W$38,GanttEnd,"&gt;="&amp;W$38)</f>
        <v>0</v>
      </c>
      <c r="X41" s="56" t="n">
        <f aca="false">SUM(B41:W41)</f>
        <v>2400</v>
      </c>
    </row>
    <row r="42" customFormat="false" ht="15" hidden="false" customHeight="false" outlineLevel="0" collapsed="false">
      <c r="A42" s="9" t="s">
        <v>24</v>
      </c>
      <c r="B42" s="47" t="n">
        <f aca="false">SUMIFS(GanttCostPerWeek,GanttOwner,$A42,GanttStart,"&lt;="&amp;B$38,GanttEnd,"&gt;="&amp;B$38)</f>
        <v>950</v>
      </c>
      <c r="C42" s="47" t="n">
        <f aca="false">SUMIFS(GanttCostPerWeek,GanttOwner,$A42,GanttStart,"&lt;="&amp;C$38,GanttEnd,"&gt;="&amp;C$38)</f>
        <v>500</v>
      </c>
      <c r="D42" s="47" t="n">
        <f aca="false">SUMIFS(GanttCostPerWeek,GanttOwner,$A42,GanttStart,"&lt;="&amp;D$38,GanttEnd,"&gt;="&amp;D$38)</f>
        <v>0</v>
      </c>
      <c r="E42" s="47" t="n">
        <f aca="false">SUMIFS(GanttCostPerWeek,GanttOwner,$A42,GanttStart,"&lt;="&amp;E$38,GanttEnd,"&gt;="&amp;E$38)</f>
        <v>0</v>
      </c>
      <c r="F42" s="47" t="n">
        <f aca="false">SUMIFS(GanttCostPerWeek,GanttOwner,$A42,GanttStart,"&lt;="&amp;F$38,GanttEnd,"&gt;="&amp;F$38)</f>
        <v>0</v>
      </c>
      <c r="G42" s="47" t="n">
        <f aca="false">SUMIFS(GanttCostPerWeek,GanttOwner,$A42,GanttStart,"&lt;="&amp;G$38,GanttEnd,"&gt;="&amp;G$38)</f>
        <v>0</v>
      </c>
      <c r="H42" s="47" t="n">
        <f aca="false">SUMIFS(GanttCostPerWeek,GanttOwner,$A42,GanttStart,"&lt;="&amp;H$38,GanttEnd,"&gt;="&amp;H$38)</f>
        <v>0</v>
      </c>
      <c r="I42" s="47" t="n">
        <f aca="false">SUMIFS(GanttCostPerWeek,GanttOwner,$A42,GanttStart,"&lt;="&amp;I$38,GanttEnd,"&gt;="&amp;I$38)</f>
        <v>9152.75</v>
      </c>
      <c r="J42" s="47" t="n">
        <f aca="false">SUMIFS(GanttCostPerWeek,GanttOwner,$A42,GanttStart,"&lt;="&amp;J$38,GanttEnd,"&gt;="&amp;J$38)</f>
        <v>0</v>
      </c>
      <c r="K42" s="47" t="n">
        <f aca="false">SUMIFS(GanttCostPerWeek,GanttOwner,$A42,GanttStart,"&lt;="&amp;K$38,GanttEnd,"&gt;="&amp;K$38)</f>
        <v>0</v>
      </c>
      <c r="L42" s="47" t="n">
        <f aca="false">SUMIFS(GanttCostPerWeek,GanttOwner,$A42,GanttStart,"&lt;="&amp;L$38,GanttEnd,"&gt;="&amp;L$38)</f>
        <v>0</v>
      </c>
      <c r="M42" s="47" t="n">
        <f aca="false">SUMIFS(GanttCostPerWeek,GanttOwner,$A42,GanttStart,"&lt;="&amp;M$38,GanttEnd,"&gt;="&amp;M$38)</f>
        <v>0</v>
      </c>
      <c r="N42" s="47" t="n">
        <f aca="false">SUMIFS(GanttCostPerWeek,GanttOwner,$A42,GanttStart,"&lt;="&amp;N$38,GanttEnd,"&gt;="&amp;N$38)</f>
        <v>0</v>
      </c>
      <c r="O42" s="47" t="n">
        <f aca="false">SUMIFS(GanttCostPerWeek,GanttOwner,$A42,GanttStart,"&lt;="&amp;O$38,GanttEnd,"&gt;="&amp;O$38)</f>
        <v>4991.11</v>
      </c>
      <c r="P42" s="47" t="n">
        <f aca="false">SUMIFS(GanttCostPerWeek,GanttOwner,$A42,GanttStart,"&lt;="&amp;P$38,GanttEnd,"&gt;="&amp;P$38)</f>
        <v>0</v>
      </c>
      <c r="Q42" s="47" t="n">
        <f aca="false">SUMIFS(GanttCostPerWeek,GanttOwner,$A42,GanttStart,"&lt;="&amp;Q$38,GanttEnd,"&gt;="&amp;Q$38)</f>
        <v>0</v>
      </c>
      <c r="R42" s="47" t="n">
        <f aca="false">SUMIFS(GanttCostPerWeek,GanttOwner,$A42,GanttStart,"&lt;="&amp;R$38,GanttEnd,"&gt;="&amp;R$38)</f>
        <v>0</v>
      </c>
      <c r="S42" s="47" t="n">
        <f aca="false">SUMIFS(GanttCostPerWeek,GanttOwner,$A42,GanttStart,"&lt;="&amp;S$38,GanttEnd,"&gt;="&amp;S$38)</f>
        <v>6378.32</v>
      </c>
      <c r="T42" s="47" t="n">
        <f aca="false">SUMIFS(GanttCostPerWeek,GanttOwner,$A42,GanttStart,"&lt;="&amp;T$38,GanttEnd,"&gt;="&amp;T$38)</f>
        <v>0</v>
      </c>
      <c r="U42" s="47" t="n">
        <f aca="false">SUMIFS(GanttCostPerWeek,GanttOwner,$A42,GanttStart,"&lt;="&amp;U$38,GanttEnd,"&gt;="&amp;U$38)</f>
        <v>0</v>
      </c>
      <c r="V42" s="47" t="n">
        <f aca="false">SUMIFS(GanttCostPerWeek,GanttOwner,$A42,GanttStart,"&lt;="&amp;V$38,GanttEnd,"&gt;="&amp;V$38)</f>
        <v>0</v>
      </c>
      <c r="W42" s="47" t="n">
        <f aca="false">SUMIFS(GanttCostPerWeek,GanttOwner,$A42,GanttStart,"&lt;="&amp;W$38,GanttEnd,"&gt;="&amp;W$38)</f>
        <v>0</v>
      </c>
      <c r="X42" s="56" t="n">
        <f aca="false">SUM(B42:W42)</f>
        <v>21972.18</v>
      </c>
    </row>
    <row r="43" customFormat="false" ht="15" hidden="false" customHeight="false" outlineLevel="0" collapsed="false">
      <c r="A43" s="10" t="s">
        <v>25</v>
      </c>
      <c r="B43" s="47" t="n">
        <f aca="false">SUMIFS(GanttCostPerWeek,GanttOwner,$A43,GanttStart,"&lt;="&amp;B$38,GanttEnd,"&gt;="&amp;B$38)</f>
        <v>0</v>
      </c>
      <c r="C43" s="47" t="n">
        <f aca="false">SUMIFS(GanttCostPerWeek,GanttOwner,$A43,GanttStart,"&lt;="&amp;C$38,GanttEnd,"&gt;="&amp;C$38)</f>
        <v>0</v>
      </c>
      <c r="D43" s="47" t="n">
        <f aca="false">SUMIFS(GanttCostPerWeek,GanttOwner,$A43,GanttStart,"&lt;="&amp;D$38,GanttEnd,"&gt;="&amp;D$38)</f>
        <v>250</v>
      </c>
      <c r="E43" s="47" t="n">
        <f aca="false">SUMIFS(GanttCostPerWeek,GanttOwner,$A43,GanttStart,"&lt;="&amp;E$38,GanttEnd,"&gt;="&amp;E$38)</f>
        <v>250</v>
      </c>
      <c r="F43" s="47" t="n">
        <f aca="false">SUMIFS(GanttCostPerWeek,GanttOwner,$A43,GanttStart,"&lt;="&amp;F$38,GanttEnd,"&gt;="&amp;F$38)</f>
        <v>0</v>
      </c>
      <c r="G43" s="47" t="n">
        <f aca="false">SUMIFS(GanttCostPerWeek,GanttOwner,$A43,GanttStart,"&lt;="&amp;G$38,GanttEnd,"&gt;="&amp;G$38)</f>
        <v>0</v>
      </c>
      <c r="H43" s="47" t="n">
        <f aca="false">SUMIFS(GanttCostPerWeek,GanttOwner,$A43,GanttStart,"&lt;="&amp;H$38,GanttEnd,"&gt;="&amp;H$38)</f>
        <v>0</v>
      </c>
      <c r="I43" s="47" t="n">
        <f aca="false">SUMIFS(GanttCostPerWeek,GanttOwner,$A43,GanttStart,"&lt;="&amp;I$38,GanttEnd,"&gt;="&amp;I$38)</f>
        <v>0</v>
      </c>
      <c r="J43" s="47" t="n">
        <f aca="false">SUMIFS(GanttCostPerWeek,GanttOwner,$A43,GanttStart,"&lt;="&amp;J$38,GanttEnd,"&gt;="&amp;J$38)</f>
        <v>0</v>
      </c>
      <c r="K43" s="47" t="n">
        <f aca="false">SUMIFS(GanttCostPerWeek,GanttOwner,$A43,GanttStart,"&lt;="&amp;K$38,GanttEnd,"&gt;="&amp;K$38)</f>
        <v>0</v>
      </c>
      <c r="L43" s="47" t="n">
        <f aca="false">SUMIFS(GanttCostPerWeek,GanttOwner,$A43,GanttStart,"&lt;="&amp;L$38,GanttEnd,"&gt;="&amp;L$38)</f>
        <v>0</v>
      </c>
      <c r="M43" s="47" t="n">
        <f aca="false">SUMIFS(GanttCostPerWeek,GanttOwner,$A43,GanttStart,"&lt;="&amp;M$38,GanttEnd,"&gt;="&amp;M$38)</f>
        <v>0</v>
      </c>
      <c r="N43" s="47" t="n">
        <f aca="false">SUMIFS(GanttCostPerWeek,GanttOwner,$A43,GanttStart,"&lt;="&amp;N$38,GanttEnd,"&gt;="&amp;N$38)</f>
        <v>0</v>
      </c>
      <c r="O43" s="47" t="n">
        <f aca="false">SUMIFS(GanttCostPerWeek,GanttOwner,$A43,GanttStart,"&lt;="&amp;O$38,GanttEnd,"&gt;="&amp;O$38)</f>
        <v>0</v>
      </c>
      <c r="P43" s="47" t="n">
        <f aca="false">SUMIFS(GanttCostPerWeek,GanttOwner,$A43,GanttStart,"&lt;="&amp;P$38,GanttEnd,"&gt;="&amp;P$38)</f>
        <v>0</v>
      </c>
      <c r="Q43" s="47" t="n">
        <f aca="false">SUMIFS(GanttCostPerWeek,GanttOwner,$A43,GanttStart,"&lt;="&amp;Q$38,GanttEnd,"&gt;="&amp;Q$38)</f>
        <v>0</v>
      </c>
      <c r="R43" s="47" t="n">
        <f aca="false">SUMIFS(GanttCostPerWeek,GanttOwner,$A43,GanttStart,"&lt;="&amp;R$38,GanttEnd,"&gt;="&amp;R$38)</f>
        <v>0</v>
      </c>
      <c r="S43" s="47" t="n">
        <f aca="false">SUMIFS(GanttCostPerWeek,GanttOwner,$A43,GanttStart,"&lt;="&amp;S$38,GanttEnd,"&gt;="&amp;S$38)</f>
        <v>0</v>
      </c>
      <c r="T43" s="47" t="n">
        <f aca="false">SUMIFS(GanttCostPerWeek,GanttOwner,$A43,GanttStart,"&lt;="&amp;T$38,GanttEnd,"&gt;="&amp;T$38)</f>
        <v>0</v>
      </c>
      <c r="U43" s="47" t="n">
        <f aca="false">SUMIFS(GanttCostPerWeek,GanttOwner,$A43,GanttStart,"&lt;="&amp;U$38,GanttEnd,"&gt;="&amp;U$38)</f>
        <v>0</v>
      </c>
      <c r="V43" s="47" t="n">
        <f aca="false">SUMIFS(GanttCostPerWeek,GanttOwner,$A43,GanttStart,"&lt;="&amp;V$38,GanttEnd,"&gt;="&amp;V$38)</f>
        <v>0</v>
      </c>
      <c r="W43" s="47" t="n">
        <f aca="false">SUMIFS(GanttCostPerWeek,GanttOwner,$A43,GanttStart,"&lt;="&amp;W$38,GanttEnd,"&gt;="&amp;W$38)</f>
        <v>0</v>
      </c>
      <c r="X43" s="56" t="n">
        <f aca="false">SUM(B43:W43)</f>
        <v>500</v>
      </c>
    </row>
    <row r="44" customFormat="false" ht="15" hidden="false" customHeight="false" outlineLevel="0" collapsed="false">
      <c r="A44" s="11" t="s">
        <v>26</v>
      </c>
      <c r="B44" s="47" t="n">
        <f aca="false">SUMIFS(GanttCostPerWeek,GanttOwner,$A44,GanttStart,"&lt;="&amp;B$38,GanttEnd,"&gt;="&amp;B$38)</f>
        <v>0</v>
      </c>
      <c r="C44" s="47" t="n">
        <f aca="false">SUMIFS(GanttCostPerWeek,GanttOwner,$A44,GanttStart,"&lt;="&amp;C$38,GanttEnd,"&gt;="&amp;C$38)</f>
        <v>0</v>
      </c>
      <c r="D44" s="47" t="n">
        <f aca="false">SUMIFS(GanttCostPerWeek,GanttOwner,$A44,GanttStart,"&lt;="&amp;D$38,GanttEnd,"&gt;="&amp;D$38)</f>
        <v>0</v>
      </c>
      <c r="E44" s="47" t="n">
        <f aca="false">SUMIFS(GanttCostPerWeek,GanttOwner,$A44,GanttStart,"&lt;="&amp;E$38,GanttEnd,"&gt;="&amp;E$38)</f>
        <v>0</v>
      </c>
      <c r="F44" s="47" t="n">
        <f aca="false">SUMIFS(GanttCostPerWeek,GanttOwner,$A44,GanttStart,"&lt;="&amp;F$38,GanttEnd,"&gt;="&amp;F$38)</f>
        <v>200</v>
      </c>
      <c r="G44" s="47" t="n">
        <f aca="false">SUMIFS(GanttCostPerWeek,GanttOwner,$A44,GanttStart,"&lt;="&amp;G$38,GanttEnd,"&gt;="&amp;G$38)</f>
        <v>200</v>
      </c>
      <c r="H44" s="47" t="n">
        <f aca="false">SUMIFS(GanttCostPerWeek,GanttOwner,$A44,GanttStart,"&lt;="&amp;H$38,GanttEnd,"&gt;="&amp;H$38)</f>
        <v>0</v>
      </c>
      <c r="I44" s="47" t="n">
        <f aca="false">SUMIFS(GanttCostPerWeek,GanttOwner,$A44,GanttStart,"&lt;="&amp;I$38,GanttEnd,"&gt;="&amp;I$38)</f>
        <v>0</v>
      </c>
      <c r="J44" s="47" t="n">
        <f aca="false">SUMIFS(GanttCostPerWeek,GanttOwner,$A44,GanttStart,"&lt;="&amp;J$38,GanttEnd,"&gt;="&amp;J$38)</f>
        <v>0</v>
      </c>
      <c r="K44" s="47" t="n">
        <f aca="false">SUMIFS(GanttCostPerWeek,GanttOwner,$A44,GanttStart,"&lt;="&amp;K$38,GanttEnd,"&gt;="&amp;K$38)</f>
        <v>0</v>
      </c>
      <c r="L44" s="47" t="n">
        <f aca="false">SUMIFS(GanttCostPerWeek,GanttOwner,$A44,GanttStart,"&lt;="&amp;L$38,GanttEnd,"&gt;="&amp;L$38)</f>
        <v>0</v>
      </c>
      <c r="M44" s="47" t="n">
        <f aca="false">SUMIFS(GanttCostPerWeek,GanttOwner,$A44,GanttStart,"&lt;="&amp;M$38,GanttEnd,"&gt;="&amp;M$38)</f>
        <v>0</v>
      </c>
      <c r="N44" s="47" t="n">
        <f aca="false">SUMIFS(GanttCostPerWeek,GanttOwner,$A44,GanttStart,"&lt;="&amp;N$38,GanttEnd,"&gt;="&amp;N$38)</f>
        <v>0</v>
      </c>
      <c r="O44" s="47" t="n">
        <f aca="false">SUMIFS(GanttCostPerWeek,GanttOwner,$A44,GanttStart,"&lt;="&amp;O$38,GanttEnd,"&gt;="&amp;O$38)</f>
        <v>0</v>
      </c>
      <c r="P44" s="47" t="n">
        <f aca="false">SUMIFS(GanttCostPerWeek,GanttOwner,$A44,GanttStart,"&lt;="&amp;P$38,GanttEnd,"&gt;="&amp;P$38)</f>
        <v>0</v>
      </c>
      <c r="Q44" s="47" t="n">
        <f aca="false">SUMIFS(GanttCostPerWeek,GanttOwner,$A44,GanttStart,"&lt;="&amp;Q$38,GanttEnd,"&gt;="&amp;Q$38)</f>
        <v>0</v>
      </c>
      <c r="R44" s="47" t="n">
        <f aca="false">SUMIFS(GanttCostPerWeek,GanttOwner,$A44,GanttStart,"&lt;="&amp;R$38,GanttEnd,"&gt;="&amp;R$38)</f>
        <v>0</v>
      </c>
      <c r="S44" s="47" t="n">
        <f aca="false">SUMIFS(GanttCostPerWeek,GanttOwner,$A44,GanttStart,"&lt;="&amp;S$38,GanttEnd,"&gt;="&amp;S$38)</f>
        <v>0</v>
      </c>
      <c r="T44" s="47" t="n">
        <f aca="false">SUMIFS(GanttCostPerWeek,GanttOwner,$A44,GanttStart,"&lt;="&amp;T$38,GanttEnd,"&gt;="&amp;T$38)</f>
        <v>0</v>
      </c>
      <c r="U44" s="47" t="n">
        <f aca="false">SUMIFS(GanttCostPerWeek,GanttOwner,$A44,GanttStart,"&lt;="&amp;U$38,GanttEnd,"&gt;="&amp;U$38)</f>
        <v>0</v>
      </c>
      <c r="V44" s="47" t="n">
        <f aca="false">SUMIFS(GanttCostPerWeek,GanttOwner,$A44,GanttStart,"&lt;="&amp;V$38,GanttEnd,"&gt;="&amp;V$38)</f>
        <v>0</v>
      </c>
      <c r="W44" s="47" t="n">
        <f aca="false">SUMIFS(GanttCostPerWeek,GanttOwner,$A44,GanttStart,"&lt;="&amp;W$38,GanttEnd,"&gt;="&amp;W$38)</f>
        <v>0</v>
      </c>
      <c r="X44" s="56" t="n">
        <f aca="false">SUM(B44:W44)</f>
        <v>400</v>
      </c>
    </row>
    <row r="45" customFormat="false" ht="15" hidden="false" customHeight="false" outlineLevel="0" collapsed="false">
      <c r="A45" s="12" t="s">
        <v>27</v>
      </c>
      <c r="B45" s="47" t="n">
        <f aca="false">SUMIFS(GanttCostPerWeek,GanttOwner,$A45,GanttStart,"&lt;="&amp;B$38,GanttEnd,"&gt;="&amp;B$38)</f>
        <v>0</v>
      </c>
      <c r="C45" s="47" t="n">
        <f aca="false">SUMIFS(GanttCostPerWeek,GanttOwner,$A45,GanttStart,"&lt;="&amp;C$38,GanttEnd,"&gt;="&amp;C$38)</f>
        <v>0</v>
      </c>
      <c r="D45" s="47" t="n">
        <f aca="false">SUMIFS(GanttCostPerWeek,GanttOwner,$A45,GanttStart,"&lt;="&amp;D$38,GanttEnd,"&gt;="&amp;D$38)</f>
        <v>0</v>
      </c>
      <c r="E45" s="47" t="n">
        <f aca="false">SUMIFS(GanttCostPerWeek,GanttOwner,$A45,GanttStart,"&lt;="&amp;E$38,GanttEnd,"&gt;="&amp;E$38)</f>
        <v>0</v>
      </c>
      <c r="F45" s="47" t="n">
        <f aca="false">SUMIFS(GanttCostPerWeek,GanttOwner,$A45,GanttStart,"&lt;="&amp;F$38,GanttEnd,"&gt;="&amp;F$38)</f>
        <v>0</v>
      </c>
      <c r="G45" s="47" t="n">
        <f aca="false">SUMIFS(GanttCostPerWeek,GanttOwner,$A45,GanttStart,"&lt;="&amp;G$38,GanttEnd,"&gt;="&amp;G$38)</f>
        <v>250</v>
      </c>
      <c r="H45" s="47" t="n">
        <f aca="false">SUMIFS(GanttCostPerWeek,GanttOwner,$A45,GanttStart,"&lt;="&amp;H$38,GanttEnd,"&gt;="&amp;H$38)</f>
        <v>350</v>
      </c>
      <c r="I45" s="47" t="n">
        <f aca="false">SUMIFS(GanttCostPerWeek,GanttOwner,$A45,GanttStart,"&lt;="&amp;I$38,GanttEnd,"&gt;="&amp;I$38)</f>
        <v>100</v>
      </c>
      <c r="J45" s="47" t="n">
        <f aca="false">SUMIFS(GanttCostPerWeek,GanttOwner,$A45,GanttStart,"&lt;="&amp;J$38,GanttEnd,"&gt;="&amp;J$38)</f>
        <v>100</v>
      </c>
      <c r="K45" s="47" t="n">
        <f aca="false">SUMIFS(GanttCostPerWeek,GanttOwner,$A45,GanttStart,"&lt;="&amp;K$38,GanttEnd,"&gt;="&amp;K$38)</f>
        <v>0</v>
      </c>
      <c r="L45" s="47" t="n">
        <f aca="false">SUMIFS(GanttCostPerWeek,GanttOwner,$A45,GanttStart,"&lt;="&amp;L$38,GanttEnd,"&gt;="&amp;L$38)</f>
        <v>0</v>
      </c>
      <c r="M45" s="47" t="n">
        <f aca="false">SUMIFS(GanttCostPerWeek,GanttOwner,$A45,GanttStart,"&lt;="&amp;M$38,GanttEnd,"&gt;="&amp;M$38)</f>
        <v>0</v>
      </c>
      <c r="N45" s="47" t="n">
        <f aca="false">SUMIFS(GanttCostPerWeek,GanttOwner,$A45,GanttStart,"&lt;="&amp;N$38,GanttEnd,"&gt;="&amp;N$38)</f>
        <v>0</v>
      </c>
      <c r="O45" s="47" t="n">
        <f aca="false">SUMIFS(GanttCostPerWeek,GanttOwner,$A45,GanttStart,"&lt;="&amp;O$38,GanttEnd,"&gt;="&amp;O$38)</f>
        <v>0</v>
      </c>
      <c r="P45" s="47" t="n">
        <f aca="false">SUMIFS(GanttCostPerWeek,GanttOwner,$A45,GanttStart,"&lt;="&amp;P$38,GanttEnd,"&gt;="&amp;P$38)</f>
        <v>0</v>
      </c>
      <c r="Q45" s="47" t="n">
        <f aca="false">SUMIFS(GanttCostPerWeek,GanttOwner,$A45,GanttStart,"&lt;="&amp;Q$38,GanttEnd,"&gt;="&amp;Q$38)</f>
        <v>0</v>
      </c>
      <c r="R45" s="47" t="n">
        <f aca="false">SUMIFS(GanttCostPerWeek,GanttOwner,$A45,GanttStart,"&lt;="&amp;R$38,GanttEnd,"&gt;="&amp;R$38)</f>
        <v>0</v>
      </c>
      <c r="S45" s="47" t="n">
        <f aca="false">SUMIFS(GanttCostPerWeek,GanttOwner,$A45,GanttStart,"&lt;="&amp;S$38,GanttEnd,"&gt;="&amp;S$38)</f>
        <v>0</v>
      </c>
      <c r="T45" s="47" t="n">
        <f aca="false">SUMIFS(GanttCostPerWeek,GanttOwner,$A45,GanttStart,"&lt;="&amp;T$38,GanttEnd,"&gt;="&amp;T$38)</f>
        <v>0</v>
      </c>
      <c r="U45" s="47" t="n">
        <f aca="false">SUMIFS(GanttCostPerWeek,GanttOwner,$A45,GanttStart,"&lt;="&amp;U$38,GanttEnd,"&gt;="&amp;U$38)</f>
        <v>0</v>
      </c>
      <c r="V45" s="47" t="n">
        <f aca="false">SUMIFS(GanttCostPerWeek,GanttOwner,$A45,GanttStart,"&lt;="&amp;V$38,GanttEnd,"&gt;="&amp;V$38)</f>
        <v>0</v>
      </c>
      <c r="W45" s="47" t="n">
        <f aca="false">SUMIFS(GanttCostPerWeek,GanttOwner,$A45,GanttStart,"&lt;="&amp;W$38,GanttEnd,"&gt;="&amp;W$38)</f>
        <v>0</v>
      </c>
      <c r="X45" s="56" t="n">
        <f aca="false">SUM(B45:W45)</f>
        <v>800</v>
      </c>
    </row>
    <row r="46" customFormat="false" ht="15" hidden="false" customHeight="false" outlineLevel="0" collapsed="false">
      <c r="A46" s="49" t="s">
        <v>265</v>
      </c>
      <c r="B46" s="51" t="n">
        <f aca="false">SUM(B39:B45)</f>
        <v>2050</v>
      </c>
      <c r="C46" s="51" t="n">
        <f aca="false">SUM(C39:C45)</f>
        <v>1975</v>
      </c>
      <c r="D46" s="51" t="n">
        <f aca="false">SUM(D39:D45)</f>
        <v>758.333333333333</v>
      </c>
      <c r="E46" s="51" t="n">
        <f aca="false">SUM(E39:E45)</f>
        <v>2501.14583333333</v>
      </c>
      <c r="F46" s="51" t="n">
        <f aca="false">SUM(F39:F45)</f>
        <v>3217.8125</v>
      </c>
      <c r="G46" s="51" t="n">
        <f aca="false">SUM(G39:G45)</f>
        <v>3184.47916666667</v>
      </c>
      <c r="H46" s="51" t="n">
        <f aca="false">SUM(H39:H45)</f>
        <v>3084.47916666667</v>
      </c>
      <c r="I46" s="51" t="n">
        <f aca="false">SUM(I39:I45)</f>
        <v>9411.08333333333</v>
      </c>
      <c r="J46" s="51" t="n">
        <f aca="false">SUM(J39:J45)</f>
        <v>258.333333333333</v>
      </c>
      <c r="K46" s="51" t="n">
        <f aca="false">SUM(K39:K45)</f>
        <v>1719.47897435897</v>
      </c>
      <c r="L46" s="51" t="n">
        <f aca="false">SUM(L39:L45)</f>
        <v>1636.14564102564</v>
      </c>
      <c r="M46" s="51" t="n">
        <f aca="false">SUM(M39:M45)</f>
        <v>2236.14564102564</v>
      </c>
      <c r="N46" s="51" t="n">
        <f aca="false">SUM(N39:N45)</f>
        <v>805.382307692308</v>
      </c>
      <c r="O46" s="51" t="n">
        <f aca="false">SUM(O39:O45)</f>
        <v>7024.91897435897</v>
      </c>
      <c r="P46" s="51" t="n">
        <f aca="false">SUM(P39:P45)</f>
        <v>2033.80897435897</v>
      </c>
      <c r="Q46" s="51" t="n">
        <f aca="false">SUM(Q39:Q45)</f>
        <v>2033.80897435897</v>
      </c>
      <c r="R46" s="51" t="n">
        <f aca="false">SUM(R39:R45)</f>
        <v>205.382307692308</v>
      </c>
      <c r="S46" s="51" t="n">
        <f aca="false">SUM(S39:S45)</f>
        <v>8274.79230769231</v>
      </c>
      <c r="T46" s="51" t="n">
        <f aca="false">SUM(T39:T45)</f>
        <v>1896.47230769231</v>
      </c>
      <c r="U46" s="51" t="n">
        <f aca="false">SUM(U39:U45)</f>
        <v>1896.47230769231</v>
      </c>
      <c r="V46" s="51" t="n">
        <f aca="false">SUM(V39:V45)</f>
        <v>1896.47230769231</v>
      </c>
      <c r="W46" s="51" t="n">
        <f aca="false">SUM(W39:W45)</f>
        <v>205.382307692308</v>
      </c>
      <c r="X46" s="51" t="n">
        <f aca="false">SUM(X39:X45)</f>
        <v>58305.33</v>
      </c>
    </row>
    <row r="47" customFormat="false" ht="15" hidden="false" customHeight="false" outlineLevel="0" collapsed="false">
      <c r="A47" s="2" t="s">
        <v>292</v>
      </c>
      <c r="X47" s="47" t="n">
        <f aca="false">X46-GanttTotalCost</f>
        <v>0</v>
      </c>
    </row>
    <row r="49" customFormat="false" ht="15" hidden="false" customHeight="false" outlineLevel="0" collapsed="false">
      <c r="A49" s="29" t="s">
        <v>293</v>
      </c>
    </row>
    <row r="50" customFormat="false" ht="15" hidden="false" customHeight="false" outlineLevel="0" collapsed="false">
      <c r="A50" s="37" t="s">
        <v>21</v>
      </c>
      <c r="B50" s="46" t="n">
        <f aca="false">COUNTIFS(GanttOwner,A50,GanttStatus,"&lt;&gt;Done")</f>
        <v>15</v>
      </c>
    </row>
    <row r="51" customFormat="false" ht="15" hidden="false" customHeight="false" outlineLevel="0" collapsed="false">
      <c r="A51" s="37" t="s">
        <v>22</v>
      </c>
      <c r="B51" s="46" t="n">
        <f aca="false">COUNTIFS(GanttOwner,A51,GanttStatus,"&lt;&gt;Done")</f>
        <v>12</v>
      </c>
    </row>
    <row r="52" customFormat="false" ht="15" hidden="false" customHeight="false" outlineLevel="0" collapsed="false">
      <c r="A52" s="37" t="s">
        <v>23</v>
      </c>
      <c r="B52" s="46" t="n">
        <f aca="false">COUNTIFS(GanttOwner,A52,GanttStatus,"&lt;&gt;Done")</f>
        <v>4</v>
      </c>
    </row>
    <row r="53" customFormat="false" ht="15" hidden="false" customHeight="false" outlineLevel="0" collapsed="false">
      <c r="A53" s="37" t="s">
        <v>24</v>
      </c>
      <c r="B53" s="46" t="n">
        <f aca="false">COUNTIFS(GanttOwner,A53,GanttStatus,"&lt;&gt;Done")</f>
        <v>7</v>
      </c>
    </row>
    <row r="54" customFormat="false" ht="15" hidden="false" customHeight="false" outlineLevel="0" collapsed="false">
      <c r="A54" s="37" t="s">
        <v>25</v>
      </c>
      <c r="B54" s="46" t="n">
        <f aca="false">COUNTIFS(GanttOwner,A54,GanttStatus,"&lt;&gt;Done")</f>
        <v>3</v>
      </c>
    </row>
    <row r="55" customFormat="false" ht="15" hidden="false" customHeight="false" outlineLevel="0" collapsed="false">
      <c r="A55" s="37" t="s">
        <v>26</v>
      </c>
      <c r="B55" s="46" t="n">
        <f aca="false">COUNTIFS(GanttOwner,A55,GanttStatus,"&lt;&gt;Done")</f>
        <v>2</v>
      </c>
    </row>
    <row r="56" customFormat="false" ht="15" hidden="false" customHeight="false" outlineLevel="0" collapsed="false">
      <c r="A56" s="37" t="s">
        <v>27</v>
      </c>
      <c r="B56" s="46" t="n">
        <f aca="false">COUNTIFS(GanttOwner,A56,GanttStatus,"&lt;&gt;Done")</f>
        <v>2</v>
      </c>
    </row>
  </sheetData>
  <mergeCells count="6">
    <mergeCell ref="F16:N16"/>
    <mergeCell ref="F17:N17"/>
    <mergeCell ref="F18:N18"/>
    <mergeCell ref="F19:N19"/>
    <mergeCell ref="F20:N20"/>
    <mergeCell ref="F23:N23"/>
  </mergeCells>
  <conditionalFormatting sqref="B33:W33">
    <cfRule type="expression" priority="2" aboveAverage="0" equalAverage="0" bottom="0" percent="0" rank="0" text="" dxfId="19">
      <formula>B33&lt;0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4" min="3" style="0" width="20"/>
    <col collapsed="false" customWidth="true" hidden="false" outlineLevel="0" max="6" min="5" style="0" width="10"/>
    <col collapsed="false" customWidth="true" hidden="false" outlineLevel="0" max="7" min="7" style="0" width="14"/>
    <col collapsed="false" customWidth="true" hidden="false" outlineLevel="0" max="10" min="8" style="0" width="11"/>
    <col collapsed="false" customWidth="true" hidden="false" outlineLevel="0" max="11" min="11" style="0" width="13"/>
    <col collapsed="false" customWidth="true" hidden="false" outlineLevel="0" max="12" min="12" style="0" width="12"/>
    <col collapsed="false" customWidth="true" hidden="false" outlineLevel="0" max="13" min="13" style="0" width="19"/>
    <col collapsed="false" customWidth="true" hidden="false" outlineLevel="0" max="14" min="14" style="0" width="40"/>
  </cols>
  <sheetData>
    <row r="1" customFormat="false" ht="15" hidden="false" customHeight="false" outlineLevel="0" collapsed="false">
      <c r="A1" s="18" t="s">
        <v>294</v>
      </c>
    </row>
    <row r="2" customFormat="false" ht="27.75" hidden="false" customHeight="true" outlineLevel="0" collapsed="false">
      <c r="A2" s="57" t="s">
        <v>295</v>
      </c>
      <c r="B2" s="57"/>
      <c r="C2" s="57"/>
      <c r="D2" s="57"/>
      <c r="E2" s="57"/>
      <c r="F2" s="57"/>
      <c r="G2" s="57"/>
      <c r="H2" s="57"/>
      <c r="I2" s="57"/>
      <c r="J2" s="57"/>
      <c r="K2" s="57"/>
      <c r="L2" s="57"/>
      <c r="M2" s="57"/>
      <c r="N2" s="57"/>
    </row>
    <row r="3" customFormat="false" ht="27.75" hidden="false" customHeight="true" outlineLevel="0" collapsed="false">
      <c r="A3" s="57" t="s">
        <v>296</v>
      </c>
      <c r="B3" s="57"/>
      <c r="C3" s="57"/>
      <c r="D3" s="57"/>
      <c r="E3" s="57"/>
      <c r="F3" s="57"/>
      <c r="G3" s="57"/>
      <c r="H3" s="57"/>
      <c r="I3" s="57"/>
      <c r="J3" s="57"/>
      <c r="K3" s="57"/>
      <c r="L3" s="57"/>
      <c r="M3" s="57"/>
      <c r="N3" s="57"/>
    </row>
    <row r="5" customFormat="false" ht="42" hidden="false" customHeight="true" outlineLevel="0" collapsed="false">
      <c r="A5" s="27" t="s">
        <v>297</v>
      </c>
      <c r="B5" s="27" t="s">
        <v>298</v>
      </c>
      <c r="C5" s="27" t="s">
        <v>299</v>
      </c>
      <c r="D5" s="27" t="s">
        <v>300</v>
      </c>
      <c r="E5" s="27" t="s">
        <v>301</v>
      </c>
      <c r="F5" s="27" t="s">
        <v>302</v>
      </c>
      <c r="G5" s="27" t="s">
        <v>303</v>
      </c>
      <c r="H5" s="27" t="s">
        <v>304</v>
      </c>
      <c r="I5" s="27" t="s">
        <v>305</v>
      </c>
      <c r="J5" s="27" t="s">
        <v>306</v>
      </c>
      <c r="K5" s="27" t="s">
        <v>307</v>
      </c>
      <c r="L5" s="27" t="s">
        <v>308</v>
      </c>
      <c r="M5" s="27" t="s">
        <v>309</v>
      </c>
      <c r="N5" s="27" t="s">
        <v>310</v>
      </c>
    </row>
    <row r="6" customFormat="false" ht="43.5" hidden="false" customHeight="true" outlineLevel="0" collapsed="false">
      <c r="A6" s="38" t="n">
        <v>1</v>
      </c>
      <c r="B6" s="32" t="s">
        <v>311</v>
      </c>
      <c r="C6" s="32" t="s">
        <v>312</v>
      </c>
      <c r="D6" s="32" t="s">
        <v>313</v>
      </c>
      <c r="E6" s="38" t="n">
        <v>3</v>
      </c>
      <c r="F6" s="38" t="s">
        <v>314</v>
      </c>
      <c r="G6" s="35" t="s">
        <v>315</v>
      </c>
      <c r="H6" s="58" t="s">
        <v>316</v>
      </c>
      <c r="I6" s="58" t="s">
        <v>316</v>
      </c>
      <c r="J6" s="58" t="s">
        <v>316</v>
      </c>
      <c r="K6" s="59" t="s">
        <v>314</v>
      </c>
      <c r="L6" s="34"/>
      <c r="M6" s="59" t="str">
        <f aca="false">IF(L6="","",IF(L6&gt;=E6,"PASS","REVIEW"))</f>
        <v/>
      </c>
      <c r="N6" s="32" t="s">
        <v>317</v>
      </c>
    </row>
    <row r="7" customFormat="false" ht="43.5" hidden="false" customHeight="true" outlineLevel="0" collapsed="false">
      <c r="A7" s="38" t="n">
        <v>2</v>
      </c>
      <c r="B7" s="32" t="s">
        <v>318</v>
      </c>
      <c r="C7" s="32" t="s">
        <v>319</v>
      </c>
      <c r="D7" s="32" t="s">
        <v>320</v>
      </c>
      <c r="E7" s="60" t="n">
        <v>0.08</v>
      </c>
      <c r="F7" s="60" t="n">
        <v>0.05</v>
      </c>
      <c r="G7" s="35" t="s">
        <v>315</v>
      </c>
      <c r="H7" s="61" t="s">
        <v>316</v>
      </c>
      <c r="I7" s="61" t="s">
        <v>316</v>
      </c>
      <c r="J7" s="61" t="s">
        <v>316</v>
      </c>
      <c r="K7" s="59" t="s">
        <v>314</v>
      </c>
      <c r="L7" s="62"/>
      <c r="M7" s="59" t="str">
        <f aca="false">IF(L7="","",IF(L7&lt;F7,"KILL",IF(L7&gt;=E7,"PASS","REVIEW")))</f>
        <v/>
      </c>
      <c r="N7" s="32" t="s">
        <v>321</v>
      </c>
    </row>
    <row r="8" customFormat="false" ht="43.5" hidden="false" customHeight="true" outlineLevel="0" collapsed="false">
      <c r="A8" s="38" t="n">
        <v>3</v>
      </c>
      <c r="B8" s="32" t="s">
        <v>322</v>
      </c>
      <c r="C8" s="32" t="s">
        <v>323</v>
      </c>
      <c r="D8" s="32" t="s">
        <v>324</v>
      </c>
      <c r="E8" s="60" t="n">
        <v>0.3</v>
      </c>
      <c r="F8" s="60" t="n">
        <v>0.4</v>
      </c>
      <c r="G8" s="35" t="s">
        <v>325</v>
      </c>
      <c r="H8" s="63" t="n">
        <v>0.3</v>
      </c>
      <c r="I8" s="63" t="n">
        <v>0.37</v>
      </c>
      <c r="J8" s="63" t="n">
        <v>0.26</v>
      </c>
      <c r="K8" s="59" t="str">
        <f aca="false">IF(H8="","",IF(H8&gt;F8,"KILL",IF(H8&lt;=E8,"PASS","REVIEW")))</f>
        <v>PASS</v>
      </c>
      <c r="L8" s="62"/>
      <c r="M8" s="59" t="str">
        <f aca="false">IF(L8="","",IF(L8&gt;F8,"KILL",IF(L8&lt;=E8,"PASS","REVIEW")))</f>
        <v/>
      </c>
      <c r="N8" s="32" t="s">
        <v>326</v>
      </c>
    </row>
    <row r="9" customFormat="false" ht="43.5" hidden="false" customHeight="true" outlineLevel="0" collapsed="false">
      <c r="A9" s="38" t="n">
        <v>4</v>
      </c>
      <c r="B9" s="32" t="s">
        <v>327</v>
      </c>
      <c r="C9" s="32" t="s">
        <v>328</v>
      </c>
      <c r="D9" s="32" t="s">
        <v>329</v>
      </c>
      <c r="E9" s="60" t="s">
        <v>314</v>
      </c>
      <c r="F9" s="60" t="s">
        <v>314</v>
      </c>
      <c r="G9" s="35" t="s">
        <v>330</v>
      </c>
      <c r="H9" s="61" t="s">
        <v>331</v>
      </c>
      <c r="I9" s="61" t="s">
        <v>332</v>
      </c>
      <c r="J9" s="61" t="s">
        <v>332</v>
      </c>
      <c r="K9" s="59" t="s">
        <v>314</v>
      </c>
      <c r="L9" s="62"/>
      <c r="M9" s="59" t="str">
        <f aca="false">IF(OR(L8="",L9=""),"",IF(L8&lt;L9,"PASS","REVIEW"))</f>
        <v/>
      </c>
      <c r="N9" s="32" t="s">
        <v>333</v>
      </c>
    </row>
    <row r="10" customFormat="false" ht="43.5" hidden="false" customHeight="true" outlineLevel="0" collapsed="false">
      <c r="A10" s="38" t="n">
        <v>5</v>
      </c>
      <c r="B10" s="32" t="s">
        <v>334</v>
      </c>
      <c r="C10" s="32" t="s">
        <v>335</v>
      </c>
      <c r="D10" s="32" t="s">
        <v>336</v>
      </c>
      <c r="E10" s="60" t="n">
        <v>0.04</v>
      </c>
      <c r="F10" s="60" t="n">
        <v>0.07</v>
      </c>
      <c r="G10" s="35" t="s">
        <v>325</v>
      </c>
      <c r="H10" s="63" t="n">
        <v>0.03</v>
      </c>
      <c r="I10" s="63" t="n">
        <v>0.04</v>
      </c>
      <c r="J10" s="63" t="n">
        <v>0.025</v>
      </c>
      <c r="K10" s="59" t="str">
        <f aca="false">IF(H10="","",IF(H10&gt;F10,"KILL",IF(H10&lt;=E10,"PASS","REVIEW")))</f>
        <v>PASS</v>
      </c>
      <c r="L10" s="62"/>
      <c r="M10" s="59" t="str">
        <f aca="false">IF(L10="","",IF(L10&gt;F10,"KILL",IF(L10&lt;=E10,"PASS","REVIEW")))</f>
        <v/>
      </c>
      <c r="N10" s="32" t="s">
        <v>337</v>
      </c>
    </row>
    <row r="11" customFormat="false" ht="43.5" hidden="false" customHeight="true" outlineLevel="0" collapsed="false">
      <c r="A11" s="38" t="n">
        <v>6</v>
      </c>
      <c r="B11" s="32" t="s">
        <v>338</v>
      </c>
      <c r="C11" s="32" t="s">
        <v>339</v>
      </c>
      <c r="D11" s="32" t="s">
        <v>340</v>
      </c>
      <c r="E11" s="64" t="n">
        <v>11</v>
      </c>
      <c r="F11" s="64" t="n">
        <v>8</v>
      </c>
      <c r="G11" s="35" t="s">
        <v>315</v>
      </c>
      <c r="H11" s="65" t="n">
        <v>12.14</v>
      </c>
      <c r="I11" s="65" t="n">
        <v>8.18</v>
      </c>
      <c r="J11" s="65" t="n">
        <v>15.355</v>
      </c>
      <c r="K11" s="59" t="str">
        <f aca="false">IF(H11="","",IF(H11&lt;F11,"KILL",IF(H11&gt;=E11,"PASS","REVIEW")))</f>
        <v>PASS</v>
      </c>
      <c r="L11" s="66"/>
      <c r="M11" s="59" t="str">
        <f aca="false">IF(L11="","",IF(L11&lt;F11,"KILL",IF(L11&gt;=E11,"PASS","REVIEW")))</f>
        <v/>
      </c>
      <c r="N11" s="32" t="s">
        <v>341</v>
      </c>
    </row>
    <row r="12" customFormat="false" ht="43.5" hidden="false" customHeight="true" outlineLevel="0" collapsed="false">
      <c r="A12" s="38" t="n">
        <v>7</v>
      </c>
      <c r="B12" s="32" t="s">
        <v>342</v>
      </c>
      <c r="C12" s="32" t="s">
        <v>343</v>
      </c>
      <c r="D12" s="32" t="s">
        <v>344</v>
      </c>
      <c r="E12" s="67" t="n">
        <v>4</v>
      </c>
      <c r="F12" s="67" t="n">
        <v>2</v>
      </c>
      <c r="G12" s="35" t="s">
        <v>315</v>
      </c>
      <c r="H12" s="68" t="n">
        <v>10.2019696927165</v>
      </c>
      <c r="I12" s="68" t="n">
        <v>15.2612472007374</v>
      </c>
      <c r="J12" s="68" t="n">
        <v>4.03983719928056</v>
      </c>
      <c r="K12" s="59" t="str">
        <f aca="false">IF(H12="","",IF(H12&lt;F12,"KILL",IF(H12&gt;=E12,"PASS","REVIEW")))</f>
        <v>PASS</v>
      </c>
      <c r="L12" s="69"/>
      <c r="M12" s="59" t="str">
        <f aca="false">IF(L12="","",IF(L12&lt;F12,"KILL",IF(L12&gt;=E12,"PASS","REVIEW")))</f>
        <v/>
      </c>
      <c r="N12" s="32" t="s">
        <v>345</v>
      </c>
    </row>
    <row r="13" customFormat="false" ht="43.5" hidden="false" customHeight="true" outlineLevel="0" collapsed="false">
      <c r="A13" s="38" t="n">
        <v>8</v>
      </c>
      <c r="B13" s="32" t="s">
        <v>346</v>
      </c>
      <c r="C13" s="32" t="s">
        <v>347</v>
      </c>
      <c r="D13" s="32" t="s">
        <v>348</v>
      </c>
      <c r="E13" s="38" t="n">
        <v>0</v>
      </c>
      <c r="F13" s="38" t="n">
        <v>14</v>
      </c>
      <c r="G13" s="35" t="s">
        <v>325</v>
      </c>
      <c r="H13" s="58" t="s">
        <v>316</v>
      </c>
      <c r="I13" s="58" t="s">
        <v>316</v>
      </c>
      <c r="J13" s="58" t="s">
        <v>316</v>
      </c>
      <c r="K13" s="59" t="s">
        <v>314</v>
      </c>
      <c r="L13" s="34"/>
      <c r="M13" s="59" t="str">
        <f aca="false">IF(L13="","",IF(L13&gt;F13,"KILL",IF(L13&lt;=E13,"PASS","REVIEW")))</f>
        <v/>
      </c>
      <c r="N13" s="32" t="s">
        <v>349</v>
      </c>
    </row>
    <row r="14" customFormat="false" ht="30" hidden="false" customHeight="true" outlineLevel="0" collapsed="false">
      <c r="B14" s="49" t="s">
        <v>350</v>
      </c>
      <c r="K14" s="70" t="str">
        <f aca="false">IF(COUNTIF(K6:K13,"KILL")&gt;0,"KILL",IF(COUNTIF(K6:K13,"REVIEW")&gt;0,"REVIEW","PASS"))</f>
        <v>PASS</v>
      </c>
      <c r="L14" s="71" t="n">
        <f aca="false">COUNTBLANK(L6:L13)</f>
        <v>8</v>
      </c>
      <c r="M14" s="70" t="str">
        <f aca="false">IF(COUNTBLANK(L6:L13)&gt;0,"Enter every actual",IF(COUNTIF(M6:M13,"KILL")&gt;0,"KILL",IF(COUNTIF(M6:M13,"PASS")=ROWS(M6:M13),"PASS","REVIEW")))</f>
        <v>Enter every actual</v>
      </c>
      <c r="N14" s="72" t="s">
        <v>351</v>
      </c>
    </row>
    <row r="16" customFormat="false" ht="15" hidden="false" customHeight="false" outlineLevel="0" collapsed="false">
      <c r="B16" s="29" t="s">
        <v>352</v>
      </c>
      <c r="C16" s="45" t="s">
        <v>353</v>
      </c>
      <c r="D16" s="45" t="s">
        <v>354</v>
      </c>
      <c r="E16" s="45" t="s">
        <v>355</v>
      </c>
    </row>
    <row r="17" customFormat="false" ht="15" hidden="false" customHeight="false" outlineLevel="0" collapsed="false">
      <c r="B17" s="32" t="s">
        <v>356</v>
      </c>
      <c r="C17" s="73" t="n">
        <v>360</v>
      </c>
      <c r="D17" s="73" t="n">
        <v>216</v>
      </c>
      <c r="E17" s="73" t="n">
        <v>558</v>
      </c>
    </row>
    <row r="18" customFormat="false" ht="15" hidden="false" customHeight="false" outlineLevel="0" collapsed="false">
      <c r="B18" s="32" t="s">
        <v>357</v>
      </c>
      <c r="C18" s="74" t="n">
        <v>15120</v>
      </c>
      <c r="D18" s="74" t="n">
        <v>8208</v>
      </c>
      <c r="E18" s="74" t="n">
        <v>23994</v>
      </c>
    </row>
    <row r="19" customFormat="false" ht="15" hidden="false" customHeight="false" outlineLevel="0" collapsed="false">
      <c r="B19" s="32" t="s">
        <v>358</v>
      </c>
      <c r="C19" s="74" t="n">
        <v>-1055.59</v>
      </c>
      <c r="D19" s="74" t="n">
        <v>-2160.07</v>
      </c>
      <c r="E19" s="74" t="n">
        <v>1439.66</v>
      </c>
    </row>
    <row r="20" customFormat="false" ht="15" hidden="false" customHeight="false" outlineLevel="0" collapsed="false">
      <c r="B20" s="32" t="s">
        <v>359</v>
      </c>
      <c r="C20" s="74" t="n">
        <v>-12514.97</v>
      </c>
      <c r="D20" s="74" t="n">
        <v>-14815.97</v>
      </c>
      <c r="E20" s="74" t="n">
        <v>-7314.445</v>
      </c>
    </row>
    <row r="21" customFormat="false" ht="15" hidden="false" customHeight="false" outlineLevel="0" collapsed="false">
      <c r="B21" s="32" t="s">
        <v>360</v>
      </c>
      <c r="C21" s="75" t="n">
        <v>-0.460000000000001</v>
      </c>
      <c r="D21" s="75" t="n">
        <v>-5.88</v>
      </c>
      <c r="E21" s="75" t="n">
        <v>4.175</v>
      </c>
    </row>
    <row r="22" customFormat="false" ht="15" hidden="false" customHeight="false" outlineLevel="0" collapsed="false">
      <c r="B22" s="32" t="s">
        <v>361</v>
      </c>
      <c r="C22" s="74" t="n">
        <v>-9084.32897435898</v>
      </c>
      <c r="D22" s="74" t="n">
        <v>-611.798419580417</v>
      </c>
      <c r="E22" s="74" t="n">
        <v>-10531.6757365967</v>
      </c>
    </row>
    <row r="23" customFormat="false" ht="15" hidden="false" customHeight="false" outlineLevel="0" collapsed="false">
      <c r="B23" s="32" t="s">
        <v>362</v>
      </c>
      <c r="C23" s="74" t="n">
        <v>106498.697486647</v>
      </c>
      <c r="D23" s="74" t="n">
        <v>135871.648171189</v>
      </c>
      <c r="E23" s="74" t="n">
        <v>30386.6272759907</v>
      </c>
    </row>
    <row r="24" customFormat="false" ht="15" hidden="false" customHeight="false" outlineLevel="0" collapsed="false">
      <c r="B24" s="32" t="s">
        <v>363</v>
      </c>
      <c r="C24" s="76" t="n">
        <v>115583.026461006</v>
      </c>
      <c r="D24" s="76" t="n">
        <v>136483.446590769</v>
      </c>
      <c r="E24" s="76" t="n">
        <v>40918.3030125874</v>
      </c>
    </row>
    <row r="25" customFormat="false" ht="15" hidden="false" customHeight="false" outlineLevel="0" collapsed="false">
      <c r="B25" s="32" t="s">
        <v>364</v>
      </c>
      <c r="C25" s="77" t="s">
        <v>63</v>
      </c>
      <c r="D25" s="77" t="s">
        <v>63</v>
      </c>
      <c r="E25" s="77" t="s">
        <v>62</v>
      </c>
    </row>
    <row r="26" customFormat="false" ht="23.85" hidden="false" customHeight="false" outlineLevel="0" collapsed="false">
      <c r="B26" s="32" t="s">
        <v>365</v>
      </c>
      <c r="C26" s="77" t="s">
        <v>366</v>
      </c>
      <c r="D26" s="77" t="s">
        <v>367</v>
      </c>
      <c r="E26" s="77" t="s">
        <v>368</v>
      </c>
    </row>
    <row r="27" customFormat="false" ht="23.85" hidden="false" customHeight="false" outlineLevel="0" collapsed="false">
      <c r="B27" s="32" t="s">
        <v>369</v>
      </c>
      <c r="C27" s="77" t="s">
        <v>370</v>
      </c>
      <c r="D27" s="77" t="s">
        <v>371</v>
      </c>
      <c r="E27" s="77" t="s">
        <v>372</v>
      </c>
    </row>
    <row r="28" customFormat="false" ht="15" hidden="false" customHeight="false" outlineLevel="0" collapsed="false">
      <c r="B28" s="32" t="s">
        <v>373</v>
      </c>
      <c r="C28" s="77" t="s">
        <v>374</v>
      </c>
      <c r="D28" s="77" t="s">
        <v>329</v>
      </c>
      <c r="E28" s="77" t="s">
        <v>375</v>
      </c>
    </row>
    <row r="30" customFormat="false" ht="15" hidden="false" customHeight="false" outlineLevel="0" collapsed="false">
      <c r="B30" s="29" t="s">
        <v>376</v>
      </c>
    </row>
    <row r="31" customFormat="false" ht="42" hidden="false" customHeight="true" outlineLevel="0" collapsed="false">
      <c r="A31" s="27" t="s">
        <v>297</v>
      </c>
      <c r="B31" s="27" t="s">
        <v>298</v>
      </c>
      <c r="C31" s="27" t="s">
        <v>299</v>
      </c>
      <c r="D31" s="27" t="s">
        <v>300</v>
      </c>
      <c r="E31" s="27" t="s">
        <v>301</v>
      </c>
      <c r="F31" s="27" t="s">
        <v>302</v>
      </c>
      <c r="G31" s="27" t="s">
        <v>303</v>
      </c>
      <c r="H31" s="27" t="s">
        <v>377</v>
      </c>
      <c r="I31" s="27" t="s">
        <v>305</v>
      </c>
      <c r="J31" s="27" t="s">
        <v>306</v>
      </c>
      <c r="K31" s="27" t="s">
        <v>307</v>
      </c>
    </row>
    <row r="32" customFormat="false" ht="39.75" hidden="false" customHeight="true" outlineLevel="0" collapsed="false">
      <c r="A32" s="38" t="n">
        <v>1</v>
      </c>
      <c r="B32" s="32" t="s">
        <v>378</v>
      </c>
      <c r="C32" s="32" t="s">
        <v>379</v>
      </c>
      <c r="D32" s="32" t="s">
        <v>380</v>
      </c>
      <c r="E32" s="78" t="n">
        <v>70000</v>
      </c>
      <c r="F32" s="79" t="n">
        <v>50000</v>
      </c>
      <c r="G32" s="35" t="s">
        <v>315</v>
      </c>
      <c r="H32" s="74" t="n">
        <v>86100</v>
      </c>
      <c r="I32" s="74" t="n">
        <v>46740</v>
      </c>
      <c r="J32" s="74" t="n">
        <v>136654</v>
      </c>
      <c r="K32" s="59" t="str">
        <f aca="false">IF(H32="","",IF(H32&lt;F32,"KILL",IF(H32&gt;=E32,"PASS","REVIEW")))</f>
        <v>PASS</v>
      </c>
    </row>
    <row r="33" customFormat="false" ht="39.75" hidden="false" customHeight="true" outlineLevel="0" collapsed="false">
      <c r="A33" s="38" t="n">
        <v>2</v>
      </c>
      <c r="B33" s="32" t="s">
        <v>381</v>
      </c>
      <c r="C33" s="32" t="s">
        <v>382</v>
      </c>
      <c r="D33" s="32" t="s">
        <v>383</v>
      </c>
      <c r="E33" s="78" t="n">
        <v>0</v>
      </c>
      <c r="F33" s="79" t="n">
        <v>-25000</v>
      </c>
      <c r="G33" s="35" t="s">
        <v>315</v>
      </c>
      <c r="H33" s="74" t="n">
        <v>38040.12</v>
      </c>
      <c r="I33" s="74" t="n">
        <v>-27160.16</v>
      </c>
      <c r="J33" s="74" t="n">
        <v>156979.355</v>
      </c>
      <c r="K33" s="59" t="str">
        <f aca="false">IF(H33="","",IF(H33&lt;F33,"KILL",IF(H33&gt;=E33,"PASS","REVIEW")))</f>
        <v>PASS</v>
      </c>
    </row>
    <row r="34" customFormat="false" ht="39.75" hidden="false" customHeight="true" outlineLevel="0" collapsed="false">
      <c r="A34" s="38" t="n">
        <v>3</v>
      </c>
      <c r="B34" s="32" t="s">
        <v>384</v>
      </c>
      <c r="C34" s="32" t="s">
        <v>385</v>
      </c>
      <c r="D34" s="32" t="s">
        <v>386</v>
      </c>
      <c r="E34" s="60" t="n">
        <v>0.15</v>
      </c>
      <c r="F34" s="61" t="n">
        <v>0.25</v>
      </c>
      <c r="G34" s="35" t="s">
        <v>325</v>
      </c>
      <c r="H34" s="80" t="n">
        <v>0.15</v>
      </c>
      <c r="I34" s="80" t="n">
        <v>0.22</v>
      </c>
      <c r="J34" s="80" t="n">
        <v>0.11</v>
      </c>
      <c r="K34" s="59" t="str">
        <f aca="false">IF(H34="","",IF(H34&gt;F34,"KILL",IF(H34&lt;=E34,"PASS","REVIEW")))</f>
        <v>PASS</v>
      </c>
    </row>
    <row r="35" customFormat="false" ht="39.75" hidden="false" customHeight="true" outlineLevel="0" collapsed="false">
      <c r="A35" s="38" t="n">
        <v>4</v>
      </c>
      <c r="B35" s="32" t="s">
        <v>387</v>
      </c>
      <c r="C35" s="32" t="s">
        <v>388</v>
      </c>
      <c r="D35" s="32" t="s">
        <v>389</v>
      </c>
      <c r="E35" s="60" t="n">
        <v>0.03</v>
      </c>
      <c r="F35" s="61" t="n">
        <v>0.05</v>
      </c>
      <c r="G35" s="35" t="s">
        <v>325</v>
      </c>
      <c r="H35" s="80" t="n">
        <v>0.03</v>
      </c>
      <c r="I35" s="80" t="n">
        <v>0.04</v>
      </c>
      <c r="J35" s="80" t="n">
        <v>0.025</v>
      </c>
      <c r="K35" s="59" t="str">
        <f aca="false">IF(H35="","",IF(H35&gt;F35,"KILL",IF(H35&lt;=E35,"PASS","REVIEW")))</f>
        <v>PASS</v>
      </c>
    </row>
    <row r="36" customFormat="false" ht="39.75" hidden="false" customHeight="true" outlineLevel="0" collapsed="false">
      <c r="A36" s="38" t="n">
        <v>5</v>
      </c>
      <c r="B36" s="32" t="s">
        <v>390</v>
      </c>
      <c r="C36" s="32" t="s">
        <v>391</v>
      </c>
      <c r="D36" s="32" t="s">
        <v>392</v>
      </c>
      <c r="E36" s="78" t="n">
        <v>0</v>
      </c>
      <c r="F36" s="79" t="s">
        <v>393</v>
      </c>
      <c r="G36" s="35" t="s">
        <v>315</v>
      </c>
      <c r="H36" s="74" t="n">
        <v>7587.34333333333</v>
      </c>
      <c r="I36" s="74" t="n">
        <v>-2242.59</v>
      </c>
      <c r="J36" s="74" t="n">
        <v>25226.0633333333</v>
      </c>
      <c r="K36" s="59" t="str">
        <f aca="false">IF(H36&gt;=E36,"PASS","REVIEW")</f>
        <v>PASS</v>
      </c>
    </row>
    <row r="37" customFormat="false" ht="23.85" hidden="false" customHeight="false" outlineLevel="0" collapsed="false">
      <c r="B37" s="49" t="s">
        <v>394</v>
      </c>
      <c r="K37" s="70" t="str">
        <f aca="false">IF(COUNTIF(K32:K36,"KILL")&gt;0,"KILL",IF(COUNTIF(K32:K36,"REVIEW")&gt;0,"REVIEW","PASS"))</f>
        <v>PASS</v>
      </c>
      <c r="L37" s="4" t="s">
        <v>395</v>
      </c>
    </row>
    <row r="39" customFormat="false" ht="15" hidden="false" customHeight="false" outlineLevel="0" collapsed="false">
      <c r="B39" s="5" t="s">
        <v>396</v>
      </c>
    </row>
    <row r="40" customFormat="false" ht="27.75" hidden="false" customHeight="true" outlineLevel="0" collapsed="false">
      <c r="B40" s="81" t="s">
        <v>42</v>
      </c>
      <c r="C40" s="81"/>
      <c r="D40" s="81"/>
      <c r="E40" s="81"/>
      <c r="F40" s="81"/>
      <c r="G40" s="81"/>
      <c r="H40" s="81"/>
      <c r="I40" s="81"/>
      <c r="J40" s="81"/>
      <c r="K40" s="81"/>
      <c r="L40" s="81"/>
      <c r="M40" s="81"/>
      <c r="N40" s="81"/>
    </row>
    <row r="41" customFormat="false" ht="27.75" hidden="false" customHeight="true" outlineLevel="0" collapsed="false">
      <c r="B41" s="81" t="s">
        <v>44</v>
      </c>
      <c r="C41" s="81"/>
      <c r="D41" s="81"/>
      <c r="E41" s="81"/>
      <c r="F41" s="81"/>
      <c r="G41" s="81"/>
      <c r="H41" s="81"/>
      <c r="I41" s="81"/>
      <c r="J41" s="81"/>
      <c r="K41" s="81"/>
      <c r="L41" s="81"/>
      <c r="M41" s="81"/>
      <c r="N41" s="81"/>
    </row>
    <row r="42" customFormat="false" ht="27.75" hidden="false" customHeight="true" outlineLevel="0" collapsed="false">
      <c r="B42" s="81" t="s">
        <v>46</v>
      </c>
      <c r="C42" s="81"/>
      <c r="D42" s="81"/>
      <c r="E42" s="81"/>
      <c r="F42" s="81"/>
      <c r="G42" s="81"/>
      <c r="H42" s="81"/>
      <c r="I42" s="81"/>
      <c r="J42" s="81"/>
      <c r="K42" s="81"/>
      <c r="L42" s="81"/>
      <c r="M42" s="81"/>
      <c r="N42" s="81"/>
    </row>
    <row r="43" customFormat="false" ht="27.75" hidden="false" customHeight="true" outlineLevel="0" collapsed="false">
      <c r="B43" s="81" t="s">
        <v>48</v>
      </c>
      <c r="C43" s="81"/>
      <c r="D43" s="81"/>
      <c r="E43" s="81"/>
      <c r="F43" s="81"/>
      <c r="G43" s="81"/>
      <c r="H43" s="81"/>
      <c r="I43" s="81"/>
      <c r="J43" s="81"/>
      <c r="K43" s="81"/>
      <c r="L43" s="81"/>
      <c r="M43" s="81"/>
      <c r="N43" s="81"/>
    </row>
    <row r="44" customFormat="false" ht="27.75" hidden="false" customHeight="true" outlineLevel="0" collapsed="false">
      <c r="B44" s="81" t="s">
        <v>397</v>
      </c>
      <c r="C44" s="81"/>
      <c r="D44" s="81"/>
      <c r="E44" s="81"/>
      <c r="F44" s="81"/>
      <c r="G44" s="81"/>
      <c r="H44" s="81"/>
      <c r="I44" s="81"/>
      <c r="J44" s="81"/>
      <c r="K44" s="81"/>
      <c r="L44" s="81"/>
      <c r="M44" s="81"/>
      <c r="N44" s="81"/>
    </row>
    <row r="45" customFormat="false" ht="27.75" hidden="false" customHeight="true" outlineLevel="0" collapsed="false">
      <c r="B45" s="81" t="s">
        <v>52</v>
      </c>
      <c r="C45" s="81"/>
      <c r="D45" s="81"/>
      <c r="E45" s="81"/>
      <c r="F45" s="81"/>
      <c r="G45" s="81"/>
      <c r="H45" s="81"/>
      <c r="I45" s="81"/>
      <c r="J45" s="81"/>
      <c r="K45" s="81"/>
      <c r="L45" s="81"/>
      <c r="M45" s="81"/>
      <c r="N45" s="81"/>
    </row>
    <row r="46" customFormat="false" ht="27.75" hidden="false" customHeight="true" outlineLevel="0" collapsed="false">
      <c r="B46" s="81" t="s">
        <v>398</v>
      </c>
      <c r="C46" s="81"/>
      <c r="D46" s="81"/>
      <c r="E46" s="81"/>
      <c r="F46" s="81"/>
      <c r="G46" s="81"/>
      <c r="H46" s="81"/>
      <c r="I46" s="81"/>
      <c r="J46" s="81"/>
      <c r="K46" s="81"/>
      <c r="L46" s="81"/>
      <c r="M46" s="81"/>
      <c r="N46" s="81"/>
    </row>
  </sheetData>
  <mergeCells count="9">
    <mergeCell ref="A2:N2"/>
    <mergeCell ref="A3:N3"/>
    <mergeCell ref="B40:N40"/>
    <mergeCell ref="B41:N41"/>
    <mergeCell ref="B42:N42"/>
    <mergeCell ref="B43:N43"/>
    <mergeCell ref="B44:N44"/>
    <mergeCell ref="B45:N45"/>
    <mergeCell ref="B46:N46"/>
  </mergeCells>
  <conditionalFormatting sqref="K6:M14">
    <cfRule type="expression" priority="2" aboveAverage="0" equalAverage="0" bottom="0" percent="0" rank="0" text="" dxfId="20">
      <formula>K6="PASS"</formula>
    </cfRule>
    <cfRule type="expression" priority="3" aboveAverage="0" equalAverage="0" bottom="0" percent="0" rank="0" text="" dxfId="21">
      <formula>K6="KILL"</formula>
    </cfRule>
    <cfRule type="expression" priority="4" aboveAverage="0" equalAverage="0" bottom="0" percent="0" rank="0" text="" dxfId="22">
      <formula>K6="REVIEW"</formula>
    </cfRule>
  </conditionalFormatting>
  <conditionalFormatting sqref="K32:K37">
    <cfRule type="expression" priority="5" aboveAverage="0" equalAverage="0" bottom="0" percent="0" rank="0" text="" dxfId="20">
      <formula>K32="PASS"</formula>
    </cfRule>
    <cfRule type="expression" priority="6" aboveAverage="0" equalAverage="0" bottom="0" percent="0" rank="0" text="" dxfId="21">
      <formula>K32="KILL"</formula>
    </cfRule>
  </conditionalFormatting>
  <printOptions headings="false" gridLines="false" gridLinesSet="true" horizontalCentered="fals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2026-10-08T19:01:14Z</dcterms:created>
  <dc:creator>openpyxl</dc:creator>
  <dc:description/>
  <dc:language>en-US</dc:language>
  <cp:lastModifiedBy/>
  <dcterms:modified xsi:type="dcterms:W3CDTF">2026-10-08T19:01:14Z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