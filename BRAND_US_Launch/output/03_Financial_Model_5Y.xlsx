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FX" sheetId="3" state="visible" r:id="rId5"/>
    <sheet name="SKU Unit Economics" sheetId="4" state="visible" r:id="rId6"/>
    <sheet name="Landed Cost &amp; Tariff Scenarios" sheetId="5" state="visible" r:id="rId7"/>
    <sheet name="Monthly PL Y1 Y2" sheetId="6" state="visible" r:id="rId8"/>
    <sheet name="Annual PL Y1 to Y5" sheetId="7" state="visible" r:id="rId9"/>
    <sheet name="Cash Flow and Working Capital" sheetId="8" state="visible" r:id="rId10"/>
    <sheet name="Funding and Breakeven" sheetId="9" state="visible" r:id="rId11"/>
    <sheet name="Sensitivity" sheetId="10" state="visible" r:id="rId12"/>
    <sheet name="KPI Dashboard" sheetId="11" state="visible" r:id="rId13"/>
    <sheet name="Levers" sheetId="12" state="visible" r:id="rId14"/>
    <sheet name="Scenario Summary" sheetId="13" state="visible" r:id="rId15"/>
    <sheet name="Plan B" sheetId="14" state="visible" r:id="rId16"/>
  </sheets>
  <definedNames>
    <definedName function="false" hidden="false" name="annual_check_net_Y1" vbProcedure="false">'Annual PL Y1 to Y5'!$C$87</definedName>
    <definedName function="false" hidden="false" name="annual_check_net_Y2" vbProcedure="false">'Annual PL Y1 to Y5'!$D$87</definedName>
    <definedName function="false" hidden="false" name="annual_check_revenue_Y1" vbProcedure="false">'Annual PL Y1 to Y5'!$C$86</definedName>
    <definedName function="false" hidden="false" name="annual_check_revenue_Y2" vbProcedure="false">'Annual PL Y1 to Y5'!$D$86</definedName>
    <definedName function="false" hidden="false" name="annual_Y1_ads_pct" vbProcedure="false">'Annual PL Y1 to Y5'!$C$9</definedName>
    <definedName function="false" hidden="false" name="annual_Y1_advertising" vbProcedure="false">'Annual PL Y1 to Y5'!$C$73</definedName>
    <definedName function="false" hidden="false" name="annual_Y1_amazon_contribution_pct" vbProcedure="false">'Annual PL Y1 to Y5'!$C$83</definedName>
    <definedName function="false" hidden="false" name="annual_Y1_amazon_units" vbProcedure="false">'Annual PL Y1 to Y5'!$C$6</definedName>
    <definedName function="false" hidden="false" name="annual_Y1_asp" vbProcedure="false">'Annual PL Y1 to Y5'!$C$7</definedName>
    <definedName function="false" hidden="false" name="annual_Y1_cogs" vbProcedure="false">'Annual PL Y1 to Y5'!$C$70</definedName>
    <definedName function="false" hidden="false" name="annual_Y1_compliance" vbProcedure="false">'Annual PL Y1 to Y5'!$C$79</definedName>
    <definedName function="false" hidden="false" name="annual_Y1_contribution" vbProcedure="false">'Annual PL Y1 to Y5'!$C$75</definedName>
    <definedName function="false" hidden="false" name="annual_Y1_contribution_by_channel_amazon_canada" vbProcedure="false">'Annual PL Y1 to Y5'!$C$57</definedName>
    <definedName function="false" hidden="false" name="annual_Y1_contribution_by_channel_amazon_us" vbProcedure="false">'Annual PL Y1 to Y5'!$C$21</definedName>
    <definedName function="false" hidden="false" name="annual_Y1_contribution_by_channel_b2b" vbProcedure="false">'Annual PL Y1 to Y5'!$C$39</definedName>
    <definedName function="false" hidden="false" name="annual_Y1_contribution_by_channel_dtc" vbProcedure="false">'Annual PL Y1 to Y5'!$C$48</definedName>
    <definedName function="false" hidden="false" name="annual_Y1_contribution_by_channel_ebay_walmart" vbProcedure="false">'Annual PL Y1 to Y5'!$C$30</definedName>
    <definedName function="false" hidden="false" name="annual_Y1_contribution_by_channel_pro_line" vbProcedure="false">'Annual PL Y1 to Y5'!$C$66</definedName>
    <definedName function="false" hidden="false" name="annual_Y1_cum_net" vbProcedure="false">'Annual PL Y1 to Y5'!$C$82</definedName>
    <definedName function="false" hidden="false" name="annual_Y1_fees" vbProcedure="false">'Annual PL Y1 to Y5'!$C$71</definedName>
    <definedName function="false" hidden="false" name="annual_Y1_fixed" vbProcedure="false">'Annual PL Y1 to Y5'!$C$76</definedName>
    <definedName function="false" hidden="false" name="annual_Y1_fulfillment" vbProcedure="false">'Annual PL Y1 to Y5'!$C$72</definedName>
    <definedName function="false" hidden="false" name="annual_Y1_landed_pct" vbProcedure="false">'Annual PL Y1 to Y5'!$C$8</definedName>
    <definedName function="false" hidden="false" name="annual_Y1_launch" vbProcedure="false">'Annual PL Y1 to Y5'!$C$78</definedName>
    <definedName function="false" hidden="false" name="annual_Y1_net" vbProcedure="false">'Annual PL Y1 to Y5'!$C$80</definedName>
    <definedName function="false" hidden="false" name="annual_Y1_net_margin" vbProcedure="false">'Annual PL Y1 to Y5'!$C$81</definedName>
    <definedName function="false" hidden="false" name="annual_Y1_returns" vbProcedure="false">'Annual PL Y1 to Y5'!$C$74</definedName>
    <definedName function="false" hidden="false" name="annual_Y1_revenue" vbProcedure="false">'Annual PL Y1 to Y5'!$C$69</definedName>
    <definedName function="false" hidden="false" name="annual_Y1_revenue_by_channel_amazon_canada" vbProcedure="false">'Annual PL Y1 to Y5'!$C$51</definedName>
    <definedName function="false" hidden="false" name="annual_Y1_revenue_by_channel_amazon_us" vbProcedure="false">'Annual PL Y1 to Y5'!$C$15</definedName>
    <definedName function="false" hidden="false" name="annual_Y1_revenue_by_channel_b2b" vbProcedure="false">'Annual PL Y1 to Y5'!$C$33</definedName>
    <definedName function="false" hidden="false" name="annual_Y1_revenue_by_channel_dtc" vbProcedure="false">'Annual PL Y1 to Y5'!$C$42</definedName>
    <definedName function="false" hidden="false" name="annual_Y1_revenue_by_channel_ebay_walmart" vbProcedure="false">'Annual PL Y1 to Y5'!$C$24</definedName>
    <definedName function="false" hidden="false" name="annual_Y1_revenue_by_channel_pro_line" vbProcedure="false">'Annual PL Y1 to Y5'!$C$60</definedName>
    <definedName function="false" hidden="false" name="annual_Y1_seller_fee" vbProcedure="false">'Annual PL Y1 to Y5'!$C$77</definedName>
    <definedName function="false" hidden="false" name="annual_Y2_ads_pct" vbProcedure="false">'Annual PL Y1 to Y5'!$D$9</definedName>
    <definedName function="false" hidden="false" name="annual_Y2_advertising" vbProcedure="false">'Annual PL Y1 to Y5'!$D$73</definedName>
    <definedName function="false" hidden="false" name="annual_Y2_amazon_contribution_pct" vbProcedure="false">'Annual PL Y1 to Y5'!$D$83</definedName>
    <definedName function="false" hidden="false" name="annual_Y2_amazon_units" vbProcedure="false">'Annual PL Y1 to Y5'!$D$6</definedName>
    <definedName function="false" hidden="false" name="annual_Y2_asp" vbProcedure="false">'Annual PL Y1 to Y5'!$D$7</definedName>
    <definedName function="false" hidden="false" name="annual_Y2_cogs" vbProcedure="false">'Annual PL Y1 to Y5'!$D$70</definedName>
    <definedName function="false" hidden="false" name="annual_Y2_compliance" vbProcedure="false">'Annual PL Y1 to Y5'!$D$79</definedName>
    <definedName function="false" hidden="false" name="annual_Y2_contribution" vbProcedure="false">'Annual PL Y1 to Y5'!$D$75</definedName>
    <definedName function="false" hidden="false" name="annual_Y2_contribution_by_channel_amazon_canada" vbProcedure="false">'Annual PL Y1 to Y5'!$D$57</definedName>
    <definedName function="false" hidden="false" name="annual_Y2_contribution_by_channel_amazon_us" vbProcedure="false">'Annual PL Y1 to Y5'!$D$21</definedName>
    <definedName function="false" hidden="false" name="annual_Y2_contribution_by_channel_b2b" vbProcedure="false">'Annual PL Y1 to Y5'!$D$39</definedName>
    <definedName function="false" hidden="false" name="annual_Y2_contribution_by_channel_dtc" vbProcedure="false">'Annual PL Y1 to Y5'!$D$48</definedName>
    <definedName function="false" hidden="false" name="annual_Y2_contribution_by_channel_ebay_walmart" vbProcedure="false">'Annual PL Y1 to Y5'!$D$30</definedName>
    <definedName function="false" hidden="false" name="annual_Y2_contribution_by_channel_pro_line" vbProcedure="false">'Annual PL Y1 to Y5'!$D$66</definedName>
    <definedName function="false" hidden="false" name="annual_Y2_cum_net" vbProcedure="false">'Annual PL Y1 to Y5'!$D$82</definedName>
    <definedName function="false" hidden="false" name="annual_Y2_fees" vbProcedure="false">'Annual PL Y1 to Y5'!$D$71</definedName>
    <definedName function="false" hidden="false" name="annual_Y2_fixed" vbProcedure="false">'Annual PL Y1 to Y5'!$D$76</definedName>
    <definedName function="false" hidden="false" name="annual_Y2_fulfillment" vbProcedure="false">'Annual PL Y1 to Y5'!$D$72</definedName>
    <definedName function="false" hidden="false" name="annual_Y2_landed_pct" vbProcedure="false">'Annual PL Y1 to Y5'!$D$8</definedName>
    <definedName function="false" hidden="false" name="annual_Y2_launch" vbProcedure="false">'Annual PL Y1 to Y5'!$D$78</definedName>
    <definedName function="false" hidden="false" name="annual_Y2_net" vbProcedure="false">'Annual PL Y1 to Y5'!$D$80</definedName>
    <definedName function="false" hidden="false" name="annual_Y2_net_margin" vbProcedure="false">'Annual PL Y1 to Y5'!$D$81</definedName>
    <definedName function="false" hidden="false" name="annual_Y2_returns" vbProcedure="false">'Annual PL Y1 to Y5'!$D$74</definedName>
    <definedName function="false" hidden="false" name="annual_Y2_revenue" vbProcedure="false">'Annual PL Y1 to Y5'!$D$69</definedName>
    <definedName function="false" hidden="false" name="annual_Y2_revenue_by_channel_amazon_canada" vbProcedure="false">'Annual PL Y1 to Y5'!$D$51</definedName>
    <definedName function="false" hidden="false" name="annual_Y2_revenue_by_channel_amazon_us" vbProcedure="false">'Annual PL Y1 to Y5'!$D$15</definedName>
    <definedName function="false" hidden="false" name="annual_Y2_revenue_by_channel_b2b" vbProcedure="false">'Annual PL Y1 to Y5'!$D$33</definedName>
    <definedName function="false" hidden="false" name="annual_Y2_revenue_by_channel_dtc" vbProcedure="false">'Annual PL Y1 to Y5'!$D$42</definedName>
    <definedName function="false" hidden="false" name="annual_Y2_revenue_by_channel_ebay_walmart" vbProcedure="false">'Annual PL Y1 to Y5'!$D$24</definedName>
    <definedName function="false" hidden="false" name="annual_Y2_revenue_by_channel_pro_line" vbProcedure="false">'Annual PL Y1 to Y5'!$D$60</definedName>
    <definedName function="false" hidden="false" name="annual_Y2_seller_fee" vbProcedure="false">'Annual PL Y1 to Y5'!$D$77</definedName>
    <definedName function="false" hidden="false" name="annual_Y3_ads_pct" vbProcedure="false">'Annual PL Y1 to Y5'!$E$9</definedName>
    <definedName function="false" hidden="false" name="annual_Y3_advertising" vbProcedure="false">'Annual PL Y1 to Y5'!$E$73</definedName>
    <definedName function="false" hidden="false" name="annual_Y3_amazon_contribution_pct" vbProcedure="false">'Annual PL Y1 to Y5'!$E$83</definedName>
    <definedName function="false" hidden="false" name="annual_Y3_amazon_units" vbProcedure="false">'Annual PL Y1 to Y5'!$E$6</definedName>
    <definedName function="false" hidden="false" name="annual_Y3_asp" vbProcedure="false">'Annual PL Y1 to Y5'!$E$7</definedName>
    <definedName function="false" hidden="false" name="annual_Y3_cogs" vbProcedure="false">'Annual PL Y1 to Y5'!$E$70</definedName>
    <definedName function="false" hidden="false" name="annual_Y3_compliance" vbProcedure="false">'Annual PL Y1 to Y5'!$E$79</definedName>
    <definedName function="false" hidden="false" name="annual_Y3_contribution" vbProcedure="false">'Annual PL Y1 to Y5'!$E$75</definedName>
    <definedName function="false" hidden="false" name="annual_Y3_contribution_by_channel_amazon_canada" vbProcedure="false">'Annual PL Y1 to Y5'!$E$57</definedName>
    <definedName function="false" hidden="false" name="annual_Y3_contribution_by_channel_amazon_us" vbProcedure="false">'Annual PL Y1 to Y5'!$E$21</definedName>
    <definedName function="false" hidden="false" name="annual_Y3_contribution_by_channel_b2b" vbProcedure="false">'Annual PL Y1 to Y5'!$E$39</definedName>
    <definedName function="false" hidden="false" name="annual_Y3_contribution_by_channel_dtc" vbProcedure="false">'Annual PL Y1 to Y5'!$E$48</definedName>
    <definedName function="false" hidden="false" name="annual_Y3_contribution_by_channel_ebay_walmart" vbProcedure="false">'Annual PL Y1 to Y5'!$E$30</definedName>
    <definedName function="false" hidden="false" name="annual_Y3_contribution_by_channel_pro_line" vbProcedure="false">'Annual PL Y1 to Y5'!$E$66</definedName>
    <definedName function="false" hidden="false" name="annual_Y3_cum_net" vbProcedure="false">'Annual PL Y1 to Y5'!$E$82</definedName>
    <definedName function="false" hidden="false" name="annual_Y3_fees" vbProcedure="false">'Annual PL Y1 to Y5'!$E$71</definedName>
    <definedName function="false" hidden="false" name="annual_Y3_fixed" vbProcedure="false">'Annual PL Y1 to Y5'!$E$76</definedName>
    <definedName function="false" hidden="false" name="annual_Y3_fulfillment" vbProcedure="false">'Annual PL Y1 to Y5'!$E$72</definedName>
    <definedName function="false" hidden="false" name="annual_Y3_landed_pct" vbProcedure="false">'Annual PL Y1 to Y5'!$E$8</definedName>
    <definedName function="false" hidden="false" name="annual_Y3_launch" vbProcedure="false">'Annual PL Y1 to Y5'!$E$78</definedName>
    <definedName function="false" hidden="false" name="annual_Y3_net" vbProcedure="false">'Annual PL Y1 to Y5'!$E$80</definedName>
    <definedName function="false" hidden="false" name="annual_Y3_net_margin" vbProcedure="false">'Annual PL Y1 to Y5'!$E$81</definedName>
    <definedName function="false" hidden="false" name="annual_Y3_returns" vbProcedure="false">'Annual PL Y1 to Y5'!$E$74</definedName>
    <definedName function="false" hidden="false" name="annual_Y3_revenue" vbProcedure="false">'Annual PL Y1 to Y5'!$E$69</definedName>
    <definedName function="false" hidden="false" name="annual_Y3_revenue_by_channel_amazon_canada" vbProcedure="false">'Annual PL Y1 to Y5'!$E$51</definedName>
    <definedName function="false" hidden="false" name="annual_Y3_revenue_by_channel_amazon_us" vbProcedure="false">'Annual PL Y1 to Y5'!$E$15</definedName>
    <definedName function="false" hidden="false" name="annual_Y3_revenue_by_channel_b2b" vbProcedure="false">'Annual PL Y1 to Y5'!$E$33</definedName>
    <definedName function="false" hidden="false" name="annual_Y3_revenue_by_channel_dtc" vbProcedure="false">'Annual PL Y1 to Y5'!$E$42</definedName>
    <definedName function="false" hidden="false" name="annual_Y3_revenue_by_channel_ebay_walmart" vbProcedure="false">'Annual PL Y1 to Y5'!$E$24</definedName>
    <definedName function="false" hidden="false" name="annual_Y3_revenue_by_channel_pro_line" vbProcedure="false">'Annual PL Y1 to Y5'!$E$60</definedName>
    <definedName function="false" hidden="false" name="annual_Y3_seller_fee" vbProcedure="false">'Annual PL Y1 to Y5'!$E$77</definedName>
    <definedName function="false" hidden="false" name="annual_Y4_ads_pct" vbProcedure="false">'Annual PL Y1 to Y5'!$F$9</definedName>
    <definedName function="false" hidden="false" name="annual_Y4_advertising" vbProcedure="false">'Annual PL Y1 to Y5'!$F$73</definedName>
    <definedName function="false" hidden="false" name="annual_Y4_amazon_contribution_pct" vbProcedure="false">'Annual PL Y1 to Y5'!$F$83</definedName>
    <definedName function="false" hidden="false" name="annual_Y4_amazon_units" vbProcedure="false">'Annual PL Y1 to Y5'!$F$6</definedName>
    <definedName function="false" hidden="false" name="annual_Y4_asp" vbProcedure="false">'Annual PL Y1 to Y5'!$F$7</definedName>
    <definedName function="false" hidden="false" name="annual_Y4_cogs" vbProcedure="false">'Annual PL Y1 to Y5'!$F$70</definedName>
    <definedName function="false" hidden="false" name="annual_Y4_compliance" vbProcedure="false">'Annual PL Y1 to Y5'!$F$79</definedName>
    <definedName function="false" hidden="false" name="annual_Y4_contribution" vbProcedure="false">'Annual PL Y1 to Y5'!$F$75</definedName>
    <definedName function="false" hidden="false" name="annual_Y4_contribution_by_channel_amazon_canada" vbProcedure="false">'Annual PL Y1 to Y5'!$F$57</definedName>
    <definedName function="false" hidden="false" name="annual_Y4_contribution_by_channel_amazon_us" vbProcedure="false">'Annual PL Y1 to Y5'!$F$21</definedName>
    <definedName function="false" hidden="false" name="annual_Y4_contribution_by_channel_b2b" vbProcedure="false">'Annual PL Y1 to Y5'!$F$39</definedName>
    <definedName function="false" hidden="false" name="annual_Y4_contribution_by_channel_dtc" vbProcedure="false">'Annual PL Y1 to Y5'!$F$48</definedName>
    <definedName function="false" hidden="false" name="annual_Y4_contribution_by_channel_ebay_walmart" vbProcedure="false">'Annual PL Y1 to Y5'!$F$30</definedName>
    <definedName function="false" hidden="false" name="annual_Y4_contribution_by_channel_pro_line" vbProcedure="false">'Annual PL Y1 to Y5'!$F$66</definedName>
    <definedName function="false" hidden="false" name="annual_Y4_cum_net" vbProcedure="false">'Annual PL Y1 to Y5'!$F$82</definedName>
    <definedName function="false" hidden="false" name="annual_Y4_fees" vbProcedure="false">'Annual PL Y1 to Y5'!$F$71</definedName>
    <definedName function="false" hidden="false" name="annual_Y4_fixed" vbProcedure="false">'Annual PL Y1 to Y5'!$F$76</definedName>
    <definedName function="false" hidden="false" name="annual_Y4_fulfillment" vbProcedure="false">'Annual PL Y1 to Y5'!$F$72</definedName>
    <definedName function="false" hidden="false" name="annual_Y4_landed_pct" vbProcedure="false">'Annual PL Y1 to Y5'!$F$8</definedName>
    <definedName function="false" hidden="false" name="annual_Y4_launch" vbProcedure="false">'Annual PL Y1 to Y5'!$F$78</definedName>
    <definedName function="false" hidden="false" name="annual_Y4_net" vbProcedure="false">'Annual PL Y1 to Y5'!$F$80</definedName>
    <definedName function="false" hidden="false" name="annual_Y4_net_margin" vbProcedure="false">'Annual PL Y1 to Y5'!$F$81</definedName>
    <definedName function="false" hidden="false" name="annual_Y4_returns" vbProcedure="false">'Annual PL Y1 to Y5'!$F$74</definedName>
    <definedName function="false" hidden="false" name="annual_Y4_revenue" vbProcedure="false">'Annual PL Y1 to Y5'!$F$69</definedName>
    <definedName function="false" hidden="false" name="annual_Y4_revenue_by_channel_amazon_canada" vbProcedure="false">'Annual PL Y1 to Y5'!$F$51</definedName>
    <definedName function="false" hidden="false" name="annual_Y4_revenue_by_channel_amazon_us" vbProcedure="false">'Annual PL Y1 to Y5'!$F$15</definedName>
    <definedName function="false" hidden="false" name="annual_Y4_revenue_by_channel_b2b" vbProcedure="false">'Annual PL Y1 to Y5'!$F$33</definedName>
    <definedName function="false" hidden="false" name="annual_Y4_revenue_by_channel_dtc" vbProcedure="false">'Annual PL Y1 to Y5'!$F$42</definedName>
    <definedName function="false" hidden="false" name="annual_Y4_revenue_by_channel_ebay_walmart" vbProcedure="false">'Annual PL Y1 to Y5'!$F$24</definedName>
    <definedName function="false" hidden="false" name="annual_Y4_revenue_by_channel_pro_line" vbProcedure="false">'Annual PL Y1 to Y5'!$F$60</definedName>
    <definedName function="false" hidden="false" name="annual_Y4_seller_fee" vbProcedure="false">'Annual PL Y1 to Y5'!$F$77</definedName>
    <definedName function="false" hidden="false" name="annual_Y5_ads_pct" vbProcedure="false">'Annual PL Y1 to Y5'!$G$9</definedName>
    <definedName function="false" hidden="false" name="annual_Y5_advertising" vbProcedure="false">'Annual PL Y1 to Y5'!$G$73</definedName>
    <definedName function="false" hidden="false" name="annual_Y5_amazon_contribution_pct" vbProcedure="false">'Annual PL Y1 to Y5'!$G$83</definedName>
    <definedName function="false" hidden="false" name="annual_Y5_amazon_units" vbProcedure="false">'Annual PL Y1 to Y5'!$G$6</definedName>
    <definedName function="false" hidden="false" name="annual_Y5_asp" vbProcedure="false">'Annual PL Y1 to Y5'!$G$7</definedName>
    <definedName function="false" hidden="false" name="annual_Y5_cogs" vbProcedure="false">'Annual PL Y1 to Y5'!$G$70</definedName>
    <definedName function="false" hidden="false" name="annual_Y5_compliance" vbProcedure="false">'Annual PL Y1 to Y5'!$G$79</definedName>
    <definedName function="false" hidden="false" name="annual_Y5_contribution" vbProcedure="false">'Annual PL Y1 to Y5'!$G$75</definedName>
    <definedName function="false" hidden="false" name="annual_Y5_contribution_by_channel_amazon_canada" vbProcedure="false">'Annual PL Y1 to Y5'!$G$57</definedName>
    <definedName function="false" hidden="false" name="annual_Y5_contribution_by_channel_amazon_us" vbProcedure="false">'Annual PL Y1 to Y5'!$G$21</definedName>
    <definedName function="false" hidden="false" name="annual_Y5_contribution_by_channel_b2b" vbProcedure="false">'Annual PL Y1 to Y5'!$G$39</definedName>
    <definedName function="false" hidden="false" name="annual_Y5_contribution_by_channel_dtc" vbProcedure="false">'Annual PL Y1 to Y5'!$G$48</definedName>
    <definedName function="false" hidden="false" name="annual_Y5_contribution_by_channel_ebay_walmart" vbProcedure="false">'Annual PL Y1 to Y5'!$G$30</definedName>
    <definedName function="false" hidden="false" name="annual_Y5_contribution_by_channel_pro_line" vbProcedure="false">'Annual PL Y1 to Y5'!$G$66</definedName>
    <definedName function="false" hidden="false" name="annual_Y5_cum_net" vbProcedure="false">'Annual PL Y1 to Y5'!$G$82</definedName>
    <definedName function="false" hidden="false" name="annual_Y5_fees" vbProcedure="false">'Annual PL Y1 to Y5'!$G$71</definedName>
    <definedName function="false" hidden="false" name="annual_Y5_fixed" vbProcedure="false">'Annual PL Y1 to Y5'!$G$76</definedName>
    <definedName function="false" hidden="false" name="annual_Y5_fulfillment" vbProcedure="false">'Annual PL Y1 to Y5'!$G$72</definedName>
    <definedName function="false" hidden="false" name="annual_Y5_landed_pct" vbProcedure="false">'Annual PL Y1 to Y5'!$G$8</definedName>
    <definedName function="false" hidden="false" name="annual_Y5_launch" vbProcedure="false">'Annual PL Y1 to Y5'!$G$78</definedName>
    <definedName function="false" hidden="false" name="annual_Y5_net" vbProcedure="false">'Annual PL Y1 to Y5'!$G$80</definedName>
    <definedName function="false" hidden="false" name="annual_Y5_net_margin" vbProcedure="false">'Annual PL Y1 to Y5'!$G$81</definedName>
    <definedName function="false" hidden="false" name="annual_Y5_returns" vbProcedure="false">'Annual PL Y1 to Y5'!$G$74</definedName>
    <definedName function="false" hidden="false" name="annual_Y5_revenue" vbProcedure="false">'Annual PL Y1 to Y5'!$G$69</definedName>
    <definedName function="false" hidden="false" name="annual_Y5_revenue_by_channel_amazon_canada" vbProcedure="false">'Annual PL Y1 to Y5'!$G$51</definedName>
    <definedName function="false" hidden="false" name="annual_Y5_revenue_by_channel_amazon_us" vbProcedure="false">'Annual PL Y1 to Y5'!$G$15</definedName>
    <definedName function="false" hidden="false" name="annual_Y5_revenue_by_channel_b2b" vbProcedure="false">'Annual PL Y1 to Y5'!$G$33</definedName>
    <definedName function="false" hidden="false" name="annual_Y5_revenue_by_channel_dtc" vbProcedure="false">'Annual PL Y1 to Y5'!$G$42</definedName>
    <definedName function="false" hidden="false" name="annual_Y5_revenue_by_channel_ebay_walmart" vbProcedure="false">'Annual PL Y1 to Y5'!$G$24</definedName>
    <definedName function="false" hidden="false" name="annual_Y5_revenue_by_channel_pro_line" vbProcedure="false">'Annual PL Y1 to Y5'!$G$60</definedName>
    <definedName function="false" hidden="false" name="annual_Y5_seller_fee" vbProcedure="false">'Annual PL Y1 to Y5'!$G$77</definedName>
    <definedName function="false" hidden="false" name="august_deal_cost_krw" vbProcedure="false">FX!$B$10</definedName>
    <definedName function="false" hidden="false" name="august_deal_gross_margin" vbProcedure="false">FX!$B$13</definedName>
    <definedName function="false" hidden="false" name="august_deal_gross_profit_krw" vbProcedure="false">FX!$B$12</definedName>
    <definedName function="false" hidden="false" name="august_deal_revenue_krw" vbProcedure="false">FX!$B$11</definedName>
    <definedName function="false" hidden="false" name="august_deal_units" vbProcedure="false">FX!$B$9</definedName>
    <definedName function="false" hidden="false" name="cash_burn_months_4_to_6" vbProcedure="false">'Cash Flow and Working Capital'!$C$51</definedName>
    <definedName function="false" hidden="false" name="cash_funding_gap" vbProcedure="false">'Cash Flow and Working Capital'!$C$49</definedName>
    <definedName function="false" hidden="false" name="cash_funding_needed_by_month" vbProcedure="false">'Cash Flow and Working Capital'!$C$50</definedName>
    <definedName function="false" hidden="false" name="cash_min_balance" vbProcedure="false">'Cash Flow and Working Capital'!$C$45</definedName>
    <definedName function="false" hidden="false" name="cash_opening_capital" vbProcedure="false">Assumptions!$F$106</definedName>
    <definedName function="false" hidden="false" name="cash_peak_need" vbProcedure="false">'Cash Flow and Working Capital'!$C$48</definedName>
    <definedName function="false" hidden="false" name="cash_peak_need_month" vbProcedure="false">'Cash Flow and Working Capital'!$C$47</definedName>
    <definedName function="false" hidden="false" name="cash_peak_need_month_label" vbProcedure="false">'Cash Flow and Working Capital'!$C$46</definedName>
    <definedName function="false" hidden="false" name="cash_runway_months_day90" vbProcedure="false">'Cash Flow and Working Capital'!$C$55</definedName>
    <definedName function="false" hidden="false" name="cash_runway_months_day90_unfunded" vbProcedure="false">'Cash Flow and Working Capital'!$C$52</definedName>
    <definedName function="false" hidden="false" name="cash_Y3_balance" vbProcedure="false">'Cash Flow and Working Capital'!$C$64</definedName>
    <definedName function="false" hidden="false" name="cash_Y3_balance_after_funding" vbProcedure="false">'Cash Flow and Working Capital'!$C$65</definedName>
    <definedName function="false" hidden="false" name="cash_Y3_inventory" vbProcedure="false">'Cash Flow and Working Capital'!$C$59</definedName>
    <definedName function="false" hidden="false" name="cash_Y4_balance" vbProcedure="false">'Cash Flow and Working Capital'!$D$64</definedName>
    <definedName function="false" hidden="false" name="cash_Y4_balance_after_funding" vbProcedure="false">'Cash Flow and Working Capital'!$D$65</definedName>
    <definedName function="false" hidden="false" name="cash_Y4_inventory" vbProcedure="false">'Cash Flow and Working Capital'!$D$59</definedName>
    <definedName function="false" hidden="false" name="cash_Y5_balance" vbProcedure="false">'Cash Flow and Working Capital'!$E$64</definedName>
    <definedName function="false" hidden="false" name="cash_Y5_balance_after_funding" vbProcedure="false">'Cash Flow and Working Capital'!$E$65</definedName>
    <definedName function="false" hidden="false" name="cash_Y5_inventory" vbProcedure="false">'Cash Flow and Working Capital'!$E$59</definedName>
    <definedName function="false" hidden="false" name="cost_base_alibaba_high_landed" vbProcedure="false">'SKU Unit Economics'!$D$56</definedName>
    <definedName function="false" hidden="false" name="cost_base_alibaba_high_net" vbProcedure="false">'SKU Unit Economics'!$F$56</definedName>
    <definedName function="false" hidden="false" name="cost_base_alibaba_low_landed" vbProcedure="false">'SKU Unit Economics'!$D$55</definedName>
    <definedName function="false" hidden="false" name="cost_base_alibaba_low_net" vbProcedure="false">'SKU Unit Economics'!$F$55</definedName>
    <definedName function="false" hidden="false" name="cost_base_august_landed" vbProcedure="false">'SKU Unit Economics'!$D$54</definedName>
    <definedName function="false" hidden="false" name="cost_base_august_net" vbProcedure="false">'SKU Unit Economics'!$F$54</definedName>
    <definedName function="false" hidden="false" name="cost_base_h2_landed" vbProcedure="false">'SKU Unit Economics'!$D$53</definedName>
    <definedName function="false" hidden="false" name="cost_base_h2_net" vbProcedure="false">'SKU Unit Economics'!$F$53</definedName>
    <definedName function="false" hidden="false" name="DutyRateActive" vbProcedure="false">'Landed Cost &amp; Tariff Scenarios'!$G$9</definedName>
    <definedName function="false" hidden="false" name="DutyRateCopper" vbProcedure="false">'Landed Cost &amp; Tariff Scenarios'!$G$10</definedName>
    <definedName function="false" hidden="false" name="DutyScenario" vbProcedure="false">Assumptions!$C$4</definedName>
    <definedName function="false" hidden="false" name="DutyScenarioName" vbProcedure="false">Assumptions!$D$4</definedName>
    <definedName function="false" hidden="false" name="duty_copper_hero_net" vbProcedure="false">'Landed Cost &amp; Tariff Scenarios'!$D$28</definedName>
    <definedName function="false" hidden="false" name="duty_copper_landed_pct_medium" vbProcedure="false">'Landed Cost &amp; Tariff Scenarios'!$B$23</definedName>
    <definedName function="false" hidden="false" name="duty_copper_rate" vbProcedure="false">'Landed Cost &amp; Tariff Scenarios'!$G$5</definedName>
    <definedName function="false" hidden="false" name="duty_fiber_hero_net" vbProcedure="false">'Landed Cost &amp; Tariff Scenarios'!$D$29</definedName>
    <definedName function="false" hidden="false" name="duty_fiber_landed_pct_medium" vbProcedure="false">'Landed Cost &amp; Tariff Scenarios'!$C$23</definedName>
    <definedName function="false" hidden="false" name="duty_fiber_list3_check_rate" vbProcedure="false">'Landed Cost &amp; Tariff Scenarios'!$G$8</definedName>
    <definedName function="false" hidden="false" name="duty_fiber_rate" vbProcedure="false">'Landed Cost &amp; Tariff Scenarios'!$G$6</definedName>
    <definedName function="false" hidden="false" name="duty_stress_hero_net" vbProcedure="false">'Landed Cost &amp; Tariff Scenarios'!$D$30</definedName>
    <definedName function="false" hidden="false" name="duty_stress_landed_pct_medium" vbProcedure="false">'Landed Cost &amp; Tariff Scenarios'!$D$23</definedName>
    <definedName function="false" hidden="false" name="duty_stress_rate" vbProcedure="false">'Landed Cost &amp; Tariff Scenarios'!$G$7</definedName>
    <definedName function="false" hidden="false" name="funding_plan_block" vbProcedure="false">'Funding and Breakeven'!$A$18:$D$22</definedName>
    <definedName function="false" hidden="false" name="FXRate" vbProcedure="false">Assumptions!$C$5</definedName>
    <definedName function="false" hidden="false" name="fx_table" vbProcedure="false">FX!$A$7:$E$22</definedName>
    <definedName function="false" hidden="false" name="gates_day90_block" vbProcedure="false">'Funding and Breakeven'!$A$27:$G$33</definedName>
    <definedName function="false" hidden="false" name="gates_month12_block" vbProcedure="false">'Funding and Breakeven'!$A$36:$G$41</definedName>
    <definedName function="false" hidden="false" name="gate_d90_cpu_kill" vbProcedure="false">'Funding and Breakeven'!$F$30</definedName>
    <definedName function="false" hidden="false" name="gate_d90_cpu_pass" vbProcedure="false">'Funding and Breakeven'!$E$30</definedName>
    <definedName function="false" hidden="false" name="gate_d90_cpu_value" vbProcedure="false">'Funding and Breakeven'!$B$30</definedName>
    <definedName function="false" hidden="false" name="gate_d90_ret_kill" vbProcedure="false">'Funding and Breakeven'!$F$29</definedName>
    <definedName function="false" hidden="false" name="gate_d90_ret_pass" vbProcedure="false">'Funding and Breakeven'!$E$29</definedName>
    <definedName function="false" hidden="false" name="gate_d90_ret_value" vbProcedure="false">'Funding and Breakeven'!$B$29</definedName>
    <definedName function="false" hidden="false" name="gate_d90_runway_kill" vbProcedure="false">'Funding and Breakeven'!$F$31</definedName>
    <definedName function="false" hidden="false" name="gate_d90_runway_pass" vbProcedure="false">'Funding and Breakeven'!$E$31</definedName>
    <definedName function="false" hidden="false" name="gate_d90_runway_value" vbProcedure="false">'Funding and Breakeven'!$B$31</definedName>
    <definedName function="false" hidden="false" name="gate_d90_tacos_kill" vbProcedure="false">'Funding and Breakeven'!$F$28</definedName>
    <definedName function="false" hidden="false" name="gate_d90_tacos_pass" vbProcedure="false">'Funding and Breakeven'!$E$28</definedName>
    <definedName function="false" hidden="false" name="gate_d90_tacos_value" vbProcedure="false">'Funding and Breakeven'!$B$28</definedName>
    <definedName function="false" hidden="false" name="gate_day90_result" vbProcedure="false">'Funding and Breakeven'!$B$33</definedName>
    <definedName function="false" hidden="false" name="gate_m12_cum_kill" vbProcedure="false">'Funding and Breakeven'!$F$37</definedName>
    <definedName function="false" hidden="false" name="gate_m12_cum_pass" vbProcedure="false">'Funding and Breakeven'!$E$37</definedName>
    <definedName function="false" hidden="false" name="gate_m12_cum_value" vbProcedure="false">'Funding and Breakeven'!$B$37</definedName>
    <definedName function="false" hidden="false" name="gate_m12_opcf_kill" vbProcedure="false">'Funding and Breakeven'!$F$40</definedName>
    <definedName function="false" hidden="false" name="gate_m12_opcf_pass" vbProcedure="false">'Funding and Breakeven'!$E$40</definedName>
    <definedName function="false" hidden="false" name="gate_m12_opcf_value" vbProcedure="false">'Funding and Breakeven'!$B$40</definedName>
    <definedName function="false" hidden="false" name="gate_m12_ret_kill" vbProcedure="false">'Funding and Breakeven'!$F$39</definedName>
    <definedName function="false" hidden="false" name="gate_m12_ret_pass" vbProcedure="false">'Funding and Breakeven'!$E$39</definedName>
    <definedName function="false" hidden="false" name="gate_m12_ret_value" vbProcedure="false">'Funding and Breakeven'!$B$39</definedName>
    <definedName function="false" hidden="false" name="gate_m12_rev_kill" vbProcedure="false">'Funding and Breakeven'!$F$36</definedName>
    <definedName function="false" hidden="false" name="gate_m12_rev_pass" vbProcedure="false">'Funding and Breakeven'!$E$36</definedName>
    <definedName function="false" hidden="false" name="gate_m12_rev_value" vbProcedure="false">'Funding and Breakeven'!$B$36</definedName>
    <definedName function="false" hidden="false" name="gate_m12_tacos_kill" vbProcedure="false">'Funding and Breakeven'!$F$38</definedName>
    <definedName function="false" hidden="false" name="gate_m12_tacos_pass" vbProcedure="false">'Funding and Breakeven'!$E$38</definedName>
    <definedName function="false" hidden="false" name="gate_m12_tacos_value" vbProcedure="false">'Funding and Breakeven'!$B$38</definedName>
    <definedName function="false" hidden="false" name="gate_month12_result" vbProcedure="false">'Funding and Breakeven'!$B$41</definedName>
    <definedName function="false" hidden="false" name="gate_threshold_d90_conv_kill" vbProcedure="false">Assumptions!$F$115</definedName>
    <definedName function="false" hidden="false" name="gate_threshold_d90_conv_pass" vbProcedure="false">Assumptions!$F$114</definedName>
    <definedName function="false" hidden="false" name="gate_threshold_d90_cpu_kill" vbProcedure="false">Assumptions!$F$121</definedName>
    <definedName function="false" hidden="false" name="gate_threshold_d90_cpu_pass" vbProcedure="false">Assumptions!$F$120</definedName>
    <definedName function="false" hidden="false" name="gate_threshold_d90_ip_days" vbProcedure="false">Assumptions!$F$124</definedName>
    <definedName function="false" hidden="false" name="gate_threshold_d90_ret_kill" vbProcedure="false">Assumptions!$F$119</definedName>
    <definedName function="false" hidden="false" name="gate_threshold_d90_ret_pass" vbProcedure="false">Assumptions!$F$118</definedName>
    <definedName function="false" hidden="false" name="gate_threshold_d90_run_kill" vbProcedure="false">Assumptions!$F$123</definedName>
    <definedName function="false" hidden="false" name="gate_threshold_d90_run_pass" vbProcedure="false">Assumptions!$F$122</definedName>
    <definedName function="false" hidden="false" name="gate_threshold_d90_tacos_kill" vbProcedure="false">Assumptions!$F$117</definedName>
    <definedName function="false" hidden="false" name="gate_threshold_d90_tacos_pass" vbProcedure="false">Assumptions!$F$116</definedName>
    <definedName function="false" hidden="false" name="gate_threshold_m12_cum_kill" vbProcedure="false">Assumptions!$F$128</definedName>
    <definedName function="false" hidden="false" name="gate_threshold_m12_cum_pass" vbProcedure="false">Assumptions!$F$127</definedName>
    <definedName function="false" hidden="false" name="gate_threshold_m12_gap_kill" vbProcedure="false">Assumptions!$F$133</definedName>
    <definedName function="false" hidden="false" name="gate_threshold_m12_ret_kill" vbProcedure="false">Assumptions!$F$132</definedName>
    <definedName function="false" hidden="false" name="gate_threshold_m12_ret_pass" vbProcedure="false">Assumptions!$F$131</definedName>
    <definedName function="false" hidden="false" name="gate_threshold_m12_rev_kill" vbProcedure="false">Assumptions!$F$126</definedName>
    <definedName function="false" hidden="false" name="gate_threshold_m12_rev_pass" vbProcedure="false">Assumptions!$F$125</definedName>
    <definedName function="false" hidden="false" name="gate_threshold_m12_tacos_kill" vbProcedure="false">Assumptions!$F$130</definedName>
    <definedName function="false" hidden="false" name="gate_threshold_m12_tacos_pass" vbProcedure="false">Assumptions!$F$129</definedName>
    <definedName function="false" hidden="false" name="HeroFobShare" vbProcedure="false">'SKU Unit Economics'!$B$48</definedName>
    <definedName function="false" hidden="false" name="HeroFobUsd" vbProcedure="false">'SKU Unit Economics'!$B$49</definedName>
    <definedName function="false" hidden="false" name="LandedDutyDelta" vbProcedure="false">'Landed Cost &amp; Tariff Scenarios'!$C$14</definedName>
    <definedName function="false" hidden="false" name="LandedFreightDelta" vbProcedure="false">'Landed Cost &amp; Tariff Scenarios'!$C$15</definedName>
    <definedName function="false" hidden="false" name="LandedFxDelta" vbProcedure="false">'Landed Cost &amp; Tariff Scenarios'!$C$16</definedName>
    <definedName function="false" hidden="false" name="LandedPctActive" vbProcedure="false">'Landed Cost &amp; Tariff Scenarios'!$C$17</definedName>
    <definedName function="false" hidden="false" name="LandedPctHigh" vbProcedure="false">'Landed Cost &amp; Tariff Scenarios'!$E$24</definedName>
    <definedName function="false" hidden="false" name="LandedPctLow" vbProcedure="false">'Landed Cost &amp; Tariff Scenarios'!$E$22</definedName>
    <definedName function="false" hidden="false" name="LandedPctMedium" vbProcedure="false">'Landed Cost &amp; Tariff Scenarios'!$E$23</definedName>
    <definedName function="false" hidden="false" name="levers_block" vbProcedure="false">Levers!$A$5:$J$16</definedName>
    <definedName function="false" hidden="false" name="lever_10_effect" vbProcedure="false">Levers!$I$14</definedName>
    <definedName function="false" hidden="false" name="lever_11_effect" vbProcedure="false">Levers!$I$15</definedName>
    <definedName function="false" hidden="false" name="lever_12_effect" vbProcedure="false">Levers!$I$16</definedName>
    <definedName function="false" hidden="false" name="lever_1_effect" vbProcedure="false">Levers!$I$5</definedName>
    <definedName function="false" hidden="false" name="lever_2_effect" vbProcedure="false">Levers!$I$6</definedName>
    <definedName function="false" hidden="false" name="lever_3_effect" vbProcedure="false">Levers!$I$7</definedName>
    <definedName function="false" hidden="false" name="lever_4_effect" vbProcedure="false">Levers!$I$8</definedName>
    <definedName function="false" hidden="false" name="lever_5_effect" vbProcedure="false">Levers!$I$9</definedName>
    <definedName function="false" hidden="false" name="lever_6_effect" vbProcedure="false">Levers!$I$10</definedName>
    <definedName function="false" hidden="false" name="lever_7_effect" vbProcedure="false">Levers!$I$11</definedName>
    <definedName function="false" hidden="false" name="lever_8_effect" vbProcedure="false">Levers!$I$12</definedName>
    <definedName function="false" hidden="false" name="lever_9_effect" vbProcedure="false">Levers!$I$13</definedName>
    <definedName function="false" hidden="false" name="m18_breakeven_month" vbProcedure="false">'Monthly PL Y1 Y2'!$C$63</definedName>
    <definedName function="false" hidden="false" name="m18_exit_margin" vbProcedure="false">'Monthly PL Y1 Y2'!$C$65</definedName>
    <definedName function="false" hidden="false" name="m18_net" vbProcedure="false">'Monthly PL Y1 Y2'!$C$61</definedName>
    <definedName function="false" hidden="false" name="m18_net_margin" vbProcedure="false">'Monthly PL Y1 Y2'!$C$62</definedName>
    <definedName function="false" hidden="false" name="m18_revenue" vbProcedure="false">'Monthly PL Y1 Y2'!$C$60</definedName>
    <definedName function="false" hidden="false" name="m18_run_rate" vbProcedure="false">'Monthly PL Y1 Y2'!$C$64</definedName>
    <definedName function="false" hidden="false" name="m18_units" vbProcedure="false">'Monthly PL Y1 Y2'!$C$66</definedName>
    <definedName function="false" hidden="false" name="m24_breakeven_month" vbProcedure="false">'Monthly PL Y1 Y2'!$C$67</definedName>
    <definedName function="false" hidden="false" name="m24_net" vbProcedure="false">'Monthly PL Y1 Y2'!$C$69</definedName>
    <definedName function="false" hidden="false" name="m24_revenue" vbProcedure="false">'Monthly PL Y1 Y2'!$C$68</definedName>
    <definedName function="false" hidden="false" name="monthly_ads_pct" vbProcedure="false">'Monthly PL Y1 Y2'!$D$33:$AA$33</definedName>
    <definedName function="false" hidden="false" name="monthly_amazon_cum_net" vbProcedure="false">'Monthly PL Y1 Y2'!$D$22:$AA$22</definedName>
    <definedName function="false" hidden="false" name="monthly_amazon_net" vbProcedure="false">'Monthly PL Y1 Y2'!$D$21:$AA$21</definedName>
    <definedName function="false" hidden="false" name="monthly_amazon_net_margin" vbProcedure="false">'Monthly PL Y1 Y2'!$D$23:$AA$23</definedName>
    <definedName function="false" hidden="false" name="monthly_amazon_revenue" vbProcedure="false">'Monthly PL Y1 Y2'!$D$9:$AA$9</definedName>
    <definedName function="false" hidden="false" name="monthly_arrivals" vbProcedure="false">'Cash Flow and Working Capital'!$C$13:$AA$13</definedName>
    <definedName function="false" hidden="false" name="monthly_asp" vbProcedure="false">'Monthly PL Y1 Y2'!$D$8:$AA$8</definedName>
    <definedName function="false" hidden="false" name="monthly_b2b_revenue" vbProcedure="false">'Monthly PL Y1 Y2'!$D$44:$AA$44</definedName>
    <definedName function="false" hidden="false" name="monthly_cash_balance" vbProcedure="false">'Cash Flow and Working Capital'!$C$33:$AA$33</definedName>
    <definedName function="false" hidden="false" name="monthly_cash_balance_after_funding" vbProcedure="false">'Cash Flow and Working Capital'!$C$54:$AA$54</definedName>
    <definedName function="false" hidden="false" name="monthly_closing_stock" vbProcedure="false">'Cash Flow and Working Capital'!$C$14:$AA$14</definedName>
    <definedName function="false" hidden="false" name="monthly_contribution_after_ads" vbProcedure="false">'Monthly PL Y1 Y2'!$D$26:$AA$26</definedName>
    <definedName function="false" hidden="false" name="monthly_contribution_before_ads" vbProcedure="false">'Monthly PL Y1 Y2'!$D$25:$AA$25</definedName>
    <definedName function="false" hidden="false" name="monthly_cum_net" vbProcedure="false">'Monthly PL Y1 Y2'!$D$56:$AA$56</definedName>
    <definedName function="false" hidden="false" name="monthly_ebay_walmart_revenue" vbProcedure="false">'Monthly PL Y1 Y2'!$D$36:$AA$36</definedName>
    <definedName function="false" hidden="false" name="monthly_inventory_cash_out" vbProcedure="false">'Cash Flow and Working Capital'!$C$25:$AA$25</definedName>
    <definedName function="false" hidden="false" name="monthly_inventory_in_transit" vbProcedure="false">'Cash Flow and Working Capital'!$C$38:$AA$38</definedName>
    <definedName function="false" hidden="false" name="monthly_inventory_on_hand" vbProcedure="false">'Cash Flow and Working Capital'!$C$37:$AA$37</definedName>
    <definedName function="false" hidden="false" name="monthly_landed_pct" vbProcedure="false">'Monthly PL Y1 Y2'!$D$30:$AA$30</definedName>
    <definedName function="false" hidden="false" name="monthly_net" vbProcedure="false">'Monthly PL Y1 Y2'!$D$55:$AA$55</definedName>
    <definedName function="false" hidden="false" name="monthly_net_cash_flow" vbProcedure="false">'Cash Flow and Working Capital'!$C$32:$AA$32</definedName>
    <definedName function="false" hidden="false" name="monthly_operating_cash_flow" vbProcedure="false">'Cash Flow and Working Capital'!$C$40:$AA$40</definedName>
    <definedName function="false" hidden="false" name="monthly_receivable" vbProcedure="false">'Cash Flow and Working Capital'!$C$28:$AA$28</definedName>
    <definedName function="false" hidden="false" name="monthly_returns_pct" vbProcedure="false">'Monthly PL Y1 Y2'!$D$32:$AA$32</definedName>
    <definedName function="false" hidden="false" name="monthly_revenue" vbProcedure="false">'Monthly PL Y1 Y2'!$D$54:$AA$54</definedName>
    <definedName function="false" hidden="false" name="monthly_tacos" vbProcedure="false">'Monthly PL Y1 Y2'!$D$24:$AA$24</definedName>
    <definedName function="false" hidden="false" name="monthly_units" vbProcedure="false">'Monthly PL Y1 Y2'!$D$7:$AA$7</definedName>
    <definedName function="false" hidden="false" name="planb_Y1_b2b_revenue" vbProcedure="false">'Plan B'!$C$5</definedName>
    <definedName function="false" hidden="false" name="planb_Y1_korea_gross_profit" vbProcedure="false">'Plan B'!$C$23</definedName>
    <definedName function="false" hidden="false" name="planb_Y1_net" vbProcedure="false">'Plan B'!$C$29</definedName>
    <definedName function="false" hidden="false" name="planb_Y1_revenue" vbProcedure="false">'Plan B'!$C$28</definedName>
    <definedName function="false" hidden="false" name="planb_Y2_b2b_revenue" vbProcedure="false">'Plan B'!$D$5</definedName>
    <definedName function="false" hidden="false" name="planb_Y2_korea_gross_profit" vbProcedure="false">'Plan B'!$D$23</definedName>
    <definedName function="false" hidden="false" name="planb_Y2_net" vbProcedure="false">'Plan B'!$D$29</definedName>
    <definedName function="false" hidden="false" name="planb_Y2_revenue" vbProcedure="false">'Plan B'!$D$28</definedName>
    <definedName function="false" hidden="false" name="planb_Y3_b2b_revenue" vbProcedure="false">'Plan B'!$E$5</definedName>
    <definedName function="false" hidden="false" name="planb_Y3_korea_gross_profit" vbProcedure="false">'Plan B'!$E$23</definedName>
    <definedName function="false" hidden="false" name="planb_Y3_net" vbProcedure="false">'Plan B'!$E$29</definedName>
    <definedName function="false" hidden="false" name="planb_Y3_revenue" vbProcedure="false">'Plan B'!$E$28</definedName>
    <definedName function="false" hidden="false" name="Scenario" vbProcedure="false">Assumptions!$C$3</definedName>
    <definedName function="false" hidden="false" name="ScenarioName" vbProcedure="false">Assumptions!$D$3</definedName>
    <definedName function="false" hidden="false" name="scenario_summary_table" vbProcedure="false">'Scenario Summary'!$A$6:$D$33</definedName>
    <definedName function="false" hidden="false" name="sensitivity_table" vbProcedure="false">Sensitivity!$A$25:$H$43</definedName>
    <definedName function="false" hidden="false" name="sens_ad_spend_base_m18_net" vbProcedure="false">Sensitivity!$E$32</definedName>
    <definedName function="false" hidden="false" name="sens_ad_spend_base_y5_net" vbProcedure="false">Sensitivity!$F$32</definedName>
    <definedName function="false" hidden="false" name="sens_ad_spend_minus_3_points_m18_net" vbProcedure="false">Sensitivity!$E$31</definedName>
    <definedName function="false" hidden="false" name="sens_ad_spend_minus_3_points_y5_net" vbProcedure="false">Sensitivity!$F$31</definedName>
    <definedName function="false" hidden="false" name="sens_ad_spend_plus_3_points_m18_net" vbProcedure="false">Sensitivity!$E$33</definedName>
    <definedName function="false" hidden="false" name="sens_ad_spend_plus_3_points_y5_net" vbProcedure="false">Sensitivity!$F$33</definedName>
    <definedName function="false" hidden="false" name="sens_asp_base_m18_net" vbProcedure="false">Sensitivity!$E$29</definedName>
    <definedName function="false" hidden="false" name="sens_asp_base_y5_net" vbProcedure="false">Sensitivity!$F$29</definedName>
    <definedName function="false" hidden="false" name="sens_asp_minus_10pct_m18_net" vbProcedure="false">Sensitivity!$E$28</definedName>
    <definedName function="false" hidden="false" name="sens_asp_minus_10pct_y5_net" vbProcedure="false">Sensitivity!$F$28</definedName>
    <definedName function="false" hidden="false" name="sens_asp_plus_10pct_m18_net" vbProcedure="false">Sensitivity!$E$30</definedName>
    <definedName function="false" hidden="false" name="sens_asp_plus_10pct_y5_net" vbProcedure="false">Sensitivity!$F$30</definedName>
    <definedName function="false" hidden="false" name="sens_base_m18_net" vbProcedure="false">Sensitivity!$B$6</definedName>
    <definedName function="false" hidden="false" name="sens_base_y5_net" vbProcedure="false">Sensitivity!$B$12</definedName>
    <definedName function="false" hidden="false" name="sens_base_y5_revenue" vbProcedure="false">Sensitivity!$B$11</definedName>
    <definedName function="false" hidden="false" name="sens_duty_rate_copper_40_1pct_m18_net" vbProcedure="false">Sensitivity!$E$26</definedName>
    <definedName function="false" hidden="false" name="sens_duty_rate_copper_40_1pct_y5_net" vbProcedure="false">Sensitivity!$F$26</definedName>
    <definedName function="false" hidden="false" name="sens_duty_rate_fiber_12_5pct_m18_net" vbProcedure="false">Sensitivity!$E$25</definedName>
    <definedName function="false" hidden="false" name="sens_duty_rate_fiber_12_5pct_y5_net" vbProcedure="false">Sensitivity!$F$25</definedName>
    <definedName function="false" hidden="false" name="sens_duty_rate_stress_50_1pct_m18_net" vbProcedure="false">Sensitivity!$E$27</definedName>
    <definedName function="false" hidden="false" name="sens_duty_rate_stress_50_1pct_y5_net" vbProcedure="false">Sensitivity!$F$27</definedName>
    <definedName function="false" hidden="false" name="sens_factory_cost_fob_alibaba_benchmark_m18_net" vbProcedure="false">Sensitivity!$E$43</definedName>
    <definedName function="false" hidden="false" name="sens_factory_cost_fob_alibaba_benchmark_y5_net" vbProcedure="false">Sensitivity!$F$43</definedName>
    <definedName function="false" hidden="false" name="sens_factory_cost_fob_base_m18_net" vbProcedure="false">Sensitivity!$E$41</definedName>
    <definedName function="false" hidden="false" name="sens_factory_cost_fob_base_y5_net" vbProcedure="false">Sensitivity!$F$41</definedName>
    <definedName function="false" hidden="false" name="sens_factory_cost_fob_minus_10pct_m18_net" vbProcedure="false">Sensitivity!$E$40</definedName>
    <definedName function="false" hidden="false" name="sens_factory_cost_fob_minus_10pct_y5_net" vbProcedure="false">Sensitivity!$F$40</definedName>
    <definedName function="false" hidden="false" name="sens_factory_cost_fob_plus_25pct_m18_net" vbProcedure="false">Sensitivity!$E$42</definedName>
    <definedName function="false" hidden="false" name="sens_factory_cost_fob_plus_25pct_y5_net" vbProcedure="false">Sensitivity!$F$42</definedName>
    <definedName function="false" hidden="false" name="sens_fx_krw_1300_m18_net" vbProcedure="false">Sensitivity!$E$37</definedName>
    <definedName function="false" hidden="false" name="sens_fx_krw_1300_y5_net" vbProcedure="false">Sensitivity!$F$37</definedName>
    <definedName function="false" hidden="false" name="sens_fx_krw_1430_m18_net" vbProcedure="false">Sensitivity!$E$38</definedName>
    <definedName function="false" hidden="false" name="sens_fx_krw_1430_y5_net" vbProcedure="false">Sensitivity!$F$38</definedName>
    <definedName function="false" hidden="false" name="sens_fx_krw_1550_m18_net" vbProcedure="false">Sensitivity!$E$39</definedName>
    <definedName function="false" hidden="false" name="sens_fx_krw_1550_y5_net" vbProcedure="false">Sensitivity!$F$39</definedName>
    <definedName function="false" hidden="false" name="sens_return_rate_2pct_m18_net" vbProcedure="false">Sensitivity!$E$34</definedName>
    <definedName function="false" hidden="false" name="sens_return_rate_2pct_y5_net" vbProcedure="false">Sensitivity!$F$34</definedName>
    <definedName function="false" hidden="false" name="sens_return_rate_3pct_m18_net" vbProcedure="false">Sensitivity!$E$35</definedName>
    <definedName function="false" hidden="false" name="sens_return_rate_3pct_y5_net" vbProcedure="false">Sensitivity!$F$35</definedName>
    <definedName function="false" hidden="false" name="sens_return_rate_5pct_m18_net" vbProcedure="false">Sensitivity!$E$36</definedName>
    <definedName function="false" hidden="false" name="sens_return_rate_5pct_y5_net" vbProcedure="false">Sensitivity!$F$36</definedName>
    <definedName function="false" hidden="false" name="sku_table" vbProcedure="false">'SKU Unit Economics'!$A$5:$AF$14</definedName>
    <definedName function="false" hidden="false" name="ss_High_annual_Y1_net" vbProcedure="false">'Scenario Summary'!$D$14</definedName>
    <definedName function="false" hidden="false" name="ss_High_annual_Y1_revenue" vbProcedure="false">'Scenario Summary'!$D$13</definedName>
    <definedName function="false" hidden="false" name="ss_High_annual_Y2_net" vbProcedure="false">'Scenario Summary'!$D$16</definedName>
    <definedName function="false" hidden="false" name="ss_High_annual_Y2_revenue" vbProcedure="false">'Scenario Summary'!$D$15</definedName>
    <definedName function="false" hidden="false" name="ss_High_annual_Y3_net" vbProcedure="false">'Scenario Summary'!$D$18</definedName>
    <definedName function="false" hidden="false" name="ss_High_annual_Y3_revenue" vbProcedure="false">'Scenario Summary'!$D$17</definedName>
    <definedName function="false" hidden="false" name="ss_High_annual_Y4_net" vbProcedure="false">'Scenario Summary'!$D$20</definedName>
    <definedName function="false" hidden="false" name="ss_High_annual_Y4_revenue" vbProcedure="false">'Scenario Summary'!$D$19</definedName>
    <definedName function="false" hidden="false" name="ss_High_annual_Y5_amazon_us" vbProcedure="false">'Scenario Summary'!$D$24</definedName>
    <definedName function="false" hidden="false" name="ss_High_annual_Y5_net" vbProcedure="false">'Scenario Summary'!$D$22</definedName>
    <definedName function="false" hidden="false" name="ss_High_annual_Y5_net_margin" vbProcedure="false">'Scenario Summary'!$D$23</definedName>
    <definedName function="false" hidden="false" name="ss_High_annual_Y5_revenue" vbProcedure="false">'Scenario Summary'!$D$21</definedName>
    <definedName function="false" hidden="false" name="ss_High_cash_funding_gap" vbProcedure="false">'Scenario Summary'!$D$29</definedName>
    <definedName function="false" hidden="false" name="ss_High_cash_funding_needed_by_month" vbProcedure="false">'Scenario Summary'!$D$30</definedName>
    <definedName function="false" hidden="false" name="ss_High_cash_min_balance" vbProcedure="false">'Scenario Summary'!$D$28</definedName>
    <definedName function="false" hidden="false" name="ss_High_cash_peak_need" vbProcedure="false">'Scenario Summary'!$D$25</definedName>
    <definedName function="false" hidden="false" name="ss_High_cash_peak_need_month" vbProcedure="false">'Scenario Summary'!$D$26</definedName>
    <definedName function="false" hidden="false" name="ss_High_cash_peak_need_month_label" vbProcedure="false">'Scenario Summary'!$D$27</definedName>
    <definedName function="false" hidden="false" name="ss_High_cash_runway_months_day90" vbProcedure="false">'Scenario Summary'!$D$31</definedName>
    <definedName function="false" hidden="false" name="ss_High_gate_day90" vbProcedure="false">'Scenario Summary'!$D$32</definedName>
    <definedName function="false" hidden="false" name="ss_High_gate_month12" vbProcedure="false">'Scenario Summary'!$D$33</definedName>
    <definedName function="false" hidden="false" name="ss_High_m18_breakeven_month" vbProcedure="false">'Scenario Summary'!$D$9</definedName>
    <definedName function="false" hidden="false" name="ss_High_m18_exit_margin" vbProcedure="false">'Scenario Summary'!$D$11</definedName>
    <definedName function="false" hidden="false" name="ss_High_m18_net" vbProcedure="false">'Scenario Summary'!$D$7</definedName>
    <definedName function="false" hidden="false" name="ss_High_m18_net_margin" vbProcedure="false">'Scenario Summary'!$D$8</definedName>
    <definedName function="false" hidden="false" name="ss_High_m18_revenue" vbProcedure="false">'Scenario Summary'!$D$6</definedName>
    <definedName function="false" hidden="false" name="ss_High_m18_run_rate" vbProcedure="false">'Scenario Summary'!$D$10</definedName>
    <definedName function="false" hidden="false" name="ss_High_m18_units" vbProcedure="false">'Scenario Summary'!$D$12</definedName>
    <definedName function="false" hidden="false" name="ss_Low_annual_Y1_net" vbProcedure="false">'Scenario Summary'!$B$14</definedName>
    <definedName function="false" hidden="false" name="ss_Low_annual_Y1_revenue" vbProcedure="false">'Scenario Summary'!$B$13</definedName>
    <definedName function="false" hidden="false" name="ss_Low_annual_Y2_net" vbProcedure="false">'Scenario Summary'!$B$16</definedName>
    <definedName function="false" hidden="false" name="ss_Low_annual_Y2_revenue" vbProcedure="false">'Scenario Summary'!$B$15</definedName>
    <definedName function="false" hidden="false" name="ss_Low_annual_Y3_net" vbProcedure="false">'Scenario Summary'!$B$18</definedName>
    <definedName function="false" hidden="false" name="ss_Low_annual_Y3_revenue" vbProcedure="false">'Scenario Summary'!$B$17</definedName>
    <definedName function="false" hidden="false" name="ss_Low_annual_Y4_net" vbProcedure="false">'Scenario Summary'!$B$20</definedName>
    <definedName function="false" hidden="false" name="ss_Low_annual_Y4_revenue" vbProcedure="false">'Scenario Summary'!$B$19</definedName>
    <definedName function="false" hidden="false" name="ss_Low_annual_Y5_amazon_us" vbProcedure="false">'Scenario Summary'!$B$24</definedName>
    <definedName function="false" hidden="false" name="ss_Low_annual_Y5_net" vbProcedure="false">'Scenario Summary'!$B$22</definedName>
    <definedName function="false" hidden="false" name="ss_Low_annual_Y5_net_margin" vbProcedure="false">'Scenario Summary'!$B$23</definedName>
    <definedName function="false" hidden="false" name="ss_Low_annual_Y5_revenue" vbProcedure="false">'Scenario Summary'!$B$21</definedName>
    <definedName function="false" hidden="false" name="ss_Low_cash_funding_gap" vbProcedure="false">'Scenario Summary'!$B$29</definedName>
    <definedName function="false" hidden="false" name="ss_Low_cash_funding_needed_by_month" vbProcedure="false">'Scenario Summary'!$B$30</definedName>
    <definedName function="false" hidden="false" name="ss_Low_cash_min_balance" vbProcedure="false">'Scenario Summary'!$B$28</definedName>
    <definedName function="false" hidden="false" name="ss_Low_cash_peak_need" vbProcedure="false">'Scenario Summary'!$B$25</definedName>
    <definedName function="false" hidden="false" name="ss_Low_cash_peak_need_month" vbProcedure="false">'Scenario Summary'!$B$26</definedName>
    <definedName function="false" hidden="false" name="ss_Low_cash_peak_need_month_label" vbProcedure="false">'Scenario Summary'!$B$27</definedName>
    <definedName function="false" hidden="false" name="ss_Low_cash_runway_months_day90" vbProcedure="false">'Scenario Summary'!$B$31</definedName>
    <definedName function="false" hidden="false" name="ss_Low_gate_day90" vbProcedure="false">'Scenario Summary'!$B$32</definedName>
    <definedName function="false" hidden="false" name="ss_Low_gate_month12" vbProcedure="false">'Scenario Summary'!$B$33</definedName>
    <definedName function="false" hidden="false" name="ss_Low_m18_breakeven_month" vbProcedure="false">'Scenario Summary'!$B$9</definedName>
    <definedName function="false" hidden="false" name="ss_Low_m18_exit_margin" vbProcedure="false">'Scenario Summary'!$B$11</definedName>
    <definedName function="false" hidden="false" name="ss_Low_m18_net" vbProcedure="false">'Scenario Summary'!$B$7</definedName>
    <definedName function="false" hidden="false" name="ss_Low_m18_net_margin" vbProcedure="false">'Scenario Summary'!$B$8</definedName>
    <definedName function="false" hidden="false" name="ss_Low_m18_revenue" vbProcedure="false">'Scenario Summary'!$B$6</definedName>
    <definedName function="false" hidden="false" name="ss_Low_m18_run_rate" vbProcedure="false">'Scenario Summary'!$B$10</definedName>
    <definedName function="false" hidden="false" name="ss_Low_m18_units" vbProcedure="false">'Scenario Summary'!$B$12</definedName>
    <definedName function="false" hidden="false" name="ss_Medium_annual_Y1_net" vbProcedure="false">'Scenario Summary'!$C$14</definedName>
    <definedName function="false" hidden="false" name="ss_Medium_annual_Y1_revenue" vbProcedure="false">'Scenario Summary'!$C$13</definedName>
    <definedName function="false" hidden="false" name="ss_Medium_annual_Y2_net" vbProcedure="false">'Scenario Summary'!$C$16</definedName>
    <definedName function="false" hidden="false" name="ss_Medium_annual_Y2_revenue" vbProcedure="false">'Scenario Summary'!$C$15</definedName>
    <definedName function="false" hidden="false" name="ss_Medium_annual_Y3_net" vbProcedure="false">'Scenario Summary'!$C$18</definedName>
    <definedName function="false" hidden="false" name="ss_Medium_annual_Y3_revenue" vbProcedure="false">'Scenario Summary'!$C$17</definedName>
    <definedName function="false" hidden="false" name="ss_Medium_annual_Y4_net" vbProcedure="false">'Scenario Summary'!$C$20</definedName>
    <definedName function="false" hidden="false" name="ss_Medium_annual_Y4_revenue" vbProcedure="false">'Scenario Summary'!$C$19</definedName>
    <definedName function="false" hidden="false" name="ss_Medium_annual_Y5_amazon_us" vbProcedure="false">'Scenario Summary'!$C$24</definedName>
    <definedName function="false" hidden="false" name="ss_Medium_annual_Y5_net" vbProcedure="false">'Scenario Summary'!$C$22</definedName>
    <definedName function="false" hidden="false" name="ss_Medium_annual_Y5_net_margin" vbProcedure="false">'Scenario Summary'!$C$23</definedName>
    <definedName function="false" hidden="false" name="ss_Medium_annual_Y5_revenue" vbProcedure="false">'Scenario Summary'!$C$21</definedName>
    <definedName function="false" hidden="false" name="ss_Medium_cash_funding_gap" vbProcedure="false">'Scenario Summary'!$C$29</definedName>
    <definedName function="false" hidden="false" name="ss_Medium_cash_funding_needed_by_month" vbProcedure="false">'Scenario Summary'!$C$30</definedName>
    <definedName function="false" hidden="false" name="ss_Medium_cash_min_balance" vbProcedure="false">'Scenario Summary'!$C$28</definedName>
    <definedName function="false" hidden="false" name="ss_Medium_cash_peak_need" vbProcedure="false">'Scenario Summary'!$C$25</definedName>
    <definedName function="false" hidden="false" name="ss_Medium_cash_peak_need_month" vbProcedure="false">'Scenario Summary'!$C$26</definedName>
    <definedName function="false" hidden="false" name="ss_Medium_cash_peak_need_month_label" vbProcedure="false">'Scenario Summary'!$C$27</definedName>
    <definedName function="false" hidden="false" name="ss_Medium_cash_runway_months_day90" vbProcedure="false">'Scenario Summary'!$C$31</definedName>
    <definedName function="false" hidden="false" name="ss_Medium_gate_day90" vbProcedure="false">'Scenario Summary'!$C$32</definedName>
    <definedName function="false" hidden="false" name="ss_Medium_gate_month12" vbProcedure="false">'Scenario Summary'!$C$33</definedName>
    <definedName function="false" hidden="false" name="ss_Medium_m18_breakeven_month" vbProcedure="false">'Scenario Summary'!$C$9</definedName>
    <definedName function="false" hidden="false" name="ss_Medium_m18_exit_margin" vbProcedure="false">'Scenario Summary'!$C$11</definedName>
    <definedName function="false" hidden="false" name="ss_Medium_m18_net" vbProcedure="false">'Scenario Summary'!$C$7</definedName>
    <definedName function="false" hidden="false" name="ss_Medium_m18_net_margin" vbProcedure="false">'Scenario Summary'!$C$8</definedName>
    <definedName function="false" hidden="false" name="ss_Medium_m18_revenue" vbProcedure="false">'Scenario Summary'!$C$6</definedName>
    <definedName function="false" hidden="false" name="ss_Medium_m18_run_rate" vbProcedure="false">'Scenario Summary'!$C$10</definedName>
    <definedName function="false" hidden="false" name="ss_Medium_m18_units" vbProcedure="false">'Scenario Summary'!$C$12</definedName>
    <definedName function="false" hidden="false" name="tariff_stack_block" vbProcedure="false">'Landed Cost &amp; Tariff Scenarios'!$A$39:$F$41</definedName>
    <definedName function="false" hidden="false" name="tornado18_block" vbProcedure="false">Sensitivity!$A$57:$I$62</definedName>
    <definedName function="false" hidden="false" name="tornado_block" vbProcedure="false">Sensitivity!$A$48:$I$53</definedName>
    <definedName function="false" hidden="false" name="ue_hero_ads" vbProcedure="false">'SKU Unit Economics'!$B$41</definedName>
    <definedName function="false" hidden="false" name="ue_hero_contribution_before_ads" vbProcedure="false">'SKU Unit Economics'!$B$47</definedName>
    <definedName function="false" hidden="false" name="ue_hero_fba" vbProcedure="false">'SKU Unit Economics'!$B$39</definedName>
    <definedName function="false" hidden="false" name="ue_hero_korea_wholesale_gross" vbProcedure="false">'SKU Unit Economics'!$B$46</definedName>
    <definedName function="false" hidden="false" name="ue_hero_landed_cost" vbProcedure="false">'SKU Unit Economics'!$B$36</definedName>
    <definedName function="false" hidden="false" name="ue_hero_landed_pct" vbProcedure="false">'SKU Unit Economics'!$B$35</definedName>
    <definedName function="false" hidden="false" name="ue_hero_list" vbProcedure="false">'SKU Unit Economics'!$B$34</definedName>
    <definedName function="false" hidden="false" name="ue_hero_net" vbProcedure="false">'SKU Unit Economics'!$B$44</definedName>
    <definedName function="false" hidden="false" name="ue_hero_net_pct" vbProcedure="false">'SKU Unit Economics'!$B$45</definedName>
    <definedName function="false" hidden="false" name="ue_hero_price" vbProcedure="false">'SKU Unit Economics'!$B$33</definedName>
    <definedName function="false" hidden="false" name="ue_hero_referral" vbProcedure="false">'SKU Unit Economics'!$B$38</definedName>
    <definedName function="false" hidden="false" name="ue_hero_returns_storage" vbProcedure="false">'SKU Unit Economics'!$B$43</definedName>
    <definedName function="false" hidden="false" name="waterfall_block" vbProcedure="false">'Landed Cost &amp; Tariff Scenarios'!$E$31:$G$35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<sst xmlns="http://schemas.openxmlformats.org/spreadsheetml/2006/main" count="3117" uniqueCount="897">
  <si>
    <t xml:space="preserve">BRAND LLC: 5 Year Financial Model</t>
  </si>
  <si>
    <t xml:space="preserve">US launch of hybrid active optical HDMI cables on Amazon, then eBay and Walmart, B2B installers, a DTC site, Amazon Canada and a pro line</t>
  </si>
  <si>
    <t xml:space="preserve">Build date: October 8, 2026. Workbook: output/03_Financial_Model_5Y.xlsx. Generator: build/build_model.py.</t>
  </si>
  <si>
    <t xml:space="preserve">How to use</t>
  </si>
  <si>
    <t xml:space="preserve">1. Change the three selectors on the Assumptions tab: Scenario (1 Low, 2 Medium, 3 High), DutyScenario (1 Copper, 2 Fiber, 3 Stress), FXRate (KRW per USD).</t>
  </si>
  <si>
    <t xml:space="preserve">2. Every other tab reads the Active column on Assumptions, so one selector drives every sheet. The Scenario Summary tab shows all three scenarios side by side without changing the selector.</t>
  </si>
  <si>
    <t xml:space="preserve">3. Edit yellow cells only. Black cells are formulas. Green cells are links to another sheet.</t>
  </si>
  <si>
    <t xml:space="preserve">4. Months are model months: Month 1 is the first month with inventory live on Amazon (assumed early 2027). Year 1 is Months 1 to 12.</t>
  </si>
  <si>
    <t xml:space="preserve">5. Months 1 to 18 reproduce the August 2026 Amazon model. Year 2 drivers (ocean freight, fixed cost step up, compliance, FBA fee inflation) start in Month 19.</t>
  </si>
  <si>
    <t xml:space="preserve">6. Recalculate after edits (Excel does this automatically). The build script recalculates with LibreOffice and checks that there are no formula errors.</t>
  </si>
  <si>
    <t xml:space="preserve">Legend</t>
  </si>
  <si>
    <t xml:space="preserve">Input: yellow fill with blue text</t>
  </si>
  <si>
    <t xml:space="preserve">Formula: black text</t>
  </si>
  <si>
    <t xml:space="preserve">Link to another sheet: green text</t>
  </si>
  <si>
    <t xml:space="preserve">Key output: green fill</t>
  </si>
  <si>
    <t xml:space="preserve">Tabs in order</t>
  </si>
  <si>
    <t xml:space="preserve">Cover</t>
  </si>
  <si>
    <t xml:space="preserve">this page</t>
  </si>
  <si>
    <t xml:space="preserve">Assumptions</t>
  </si>
  <si>
    <t xml:space="preserve">Low, Medium, High side by side, the Active column and the three selectors</t>
  </si>
  <si>
    <t xml:space="preserve">FX</t>
  </si>
  <si>
    <t xml:space="preserve">KRW per USD input, the three FX scenarios, conversions of capital, the August deal and profit repatriation</t>
  </si>
  <si>
    <t xml:space="preserve">SKU Unit Economics</t>
  </si>
  <si>
    <t xml:space="preserve">per SKU cost build (FOB, freight, duty by scenario, fees, FBA, referral, ads, returns, net) and the three cost bases</t>
  </si>
  <si>
    <t xml:space="preserve">Landed Cost &amp; Tariff Scenarios</t>
  </si>
  <si>
    <t xml:space="preserve">duty table, landed COGS % build for the active scenario, waterfall data</t>
  </si>
  <si>
    <t xml:space="preserve">Monthly PL Y1 Y2</t>
  </si>
  <si>
    <t xml:space="preserve">Months 1 to 24, Amazon US plus the Year 2 channels, 18 month block</t>
  </si>
  <si>
    <t xml:space="preserve">Annual PL Y1 to Y5</t>
  </si>
  <si>
    <t xml:space="preserve">Years 1 to 5 by channel with the check rows to the monthly tab</t>
  </si>
  <si>
    <t xml:space="preserve">Cash Flow and Working Capital</t>
  </si>
  <si>
    <t xml:space="preserve">inventory purchases, in transit stock, payout lag, cash balance, peak need, runway, funding gap</t>
  </si>
  <si>
    <t xml:space="preserve">Funding and Breakeven</t>
  </si>
  <si>
    <t xml:space="preserve">funding plan, Day 90 and Month 12 gates with PASS, REVIEW or KILL, Plan B summary</t>
  </si>
  <si>
    <t xml:space="preserve">Sensitivity</t>
  </si>
  <si>
    <t xml:space="preserve">one way sensitivity of 18 month net and Year 5 net, tornado data</t>
  </si>
  <si>
    <t xml:space="preserve">KPI Dashboard</t>
  </si>
  <si>
    <t xml:space="preserve">KPI table and the five charts</t>
  </si>
  <si>
    <t xml:space="preserve">Levers</t>
  </si>
  <si>
    <t xml:space="preserve">the twelve levers mapped to the assumption each one moves</t>
  </si>
  <si>
    <t xml:space="preserve">Scenario Summary</t>
  </si>
  <si>
    <t xml:space="preserve">all three scenarios side by side, computed live by three parallel engines</t>
  </si>
  <si>
    <t xml:space="preserve">Plan B</t>
  </si>
  <si>
    <t xml:space="preserve">B2B installer distribution plus continued Korea wholesale if Amazon fails</t>
  </si>
  <si>
    <t xml:space="preserve">Basis tags: Evidence based = brief section 1, the August deal, the August model or a verified regulatory fact. Management estimate = everything else.</t>
  </si>
  <si>
    <t xml:space="preserve">Largest unverified assumption: the factory cost. At the Alibaba benchmark FOB ($17 to $22) the hero SKU loses money at $44.99. See SKU Unit Economics.</t>
  </si>
  <si>
    <t xml:space="preserve">Low, Medium and High side by side. The Active column (F) is what every other sheet reads. Edit yellow cells only.</t>
  </si>
  <si>
    <t xml:space="preserve">Scenario selector (1 Low, 2 Medium, 3 High)</t>
  </si>
  <si>
    <t xml:space="preserve">active scenario name</t>
  </si>
  <si>
    <t xml:space="preserve">Duty scenario selector (1 Copper, 2 Fiber, 3 Stress)</t>
  </si>
  <si>
    <t xml:space="preserve">active duty scenario name</t>
  </si>
  <si>
    <t xml:space="preserve">FX rate, KRW per USD (scenarios 1,300 / 1,430 / 1,550)</t>
  </si>
  <si>
    <t xml:space="preserve">Driver</t>
  </si>
  <si>
    <t xml:space="preserve">Unit</t>
  </si>
  <si>
    <t xml:space="preserve">Low</t>
  </si>
  <si>
    <t xml:space="preserve">Medium</t>
  </si>
  <si>
    <t xml:space="preserve">High</t>
  </si>
  <si>
    <t xml:space="preserve">Active</t>
  </si>
  <si>
    <t xml:space="preserve">Basis</t>
  </si>
  <si>
    <t xml:space="preserve">Note</t>
  </si>
  <si>
    <t xml:space="preserve">Eighteen month block (August 2026 Amazon model; Months 1 to 18 reproduce it)</t>
  </si>
  <si>
    <t xml:space="preserve">ASP Years 1 and 2</t>
  </si>
  <si>
    <t xml:space="preserve">$</t>
  </si>
  <si>
    <t xml:space="preserve">Evidence based</t>
  </si>
  <si>
    <t xml:space="preserve">August model Medium $42; Low and High calibrated per spec 2.3</t>
  </si>
  <si>
    <t xml:space="preserve">Landed COGS % of revenue, base (copper duty, air then ocean)</t>
  </si>
  <si>
    <t xml:space="preserve">%</t>
  </si>
  <si>
    <t xml:space="preserve">August model 38% pending the customs ruling; Low 43%; High 32% assumes fiber ruling, ocean and volume pricing</t>
  </si>
  <si>
    <t xml:space="preserve">Returns % Year 1</t>
  </si>
  <si>
    <t xml:space="preserve">August model 3%</t>
  </si>
  <si>
    <t xml:space="preserve">Ad spend % Months 1 to 3</t>
  </si>
  <si>
    <t xml:space="preserve">August model 30%; Low plus 7 points; High minus 4 points</t>
  </si>
  <si>
    <t xml:space="preserve">Ad spend % Months 4 to 6</t>
  </si>
  <si>
    <t xml:space="preserve">Ad spend % Months 7 to 12</t>
  </si>
  <si>
    <t xml:space="preserve">Ad spend % Months 13 to 18</t>
  </si>
  <si>
    <t xml:space="preserve">August model 11% for Months 13 to 18; Low plus 7 points; High minus 3 points (the 8% floor)</t>
  </si>
  <si>
    <t xml:space="preserve">Fixed costs per month Year 1 (software, insurance, misc), Months 1 to 18</t>
  </si>
  <si>
    <t xml:space="preserve">August model</t>
  </si>
  <si>
    <t xml:space="preserve">Unit ramp multiplier on the Medium ramp, Months 1 to 18</t>
  </si>
  <si>
    <t xml:space="preserve">x</t>
  </si>
  <si>
    <t xml:space="preserve">Management estimate</t>
  </si>
  <si>
    <t xml:space="preserve">Low 0.60 and High 1.55 per the build spec; Medium ramp is the August deck</t>
  </si>
  <si>
    <t xml:space="preserve">Amazon referral fee %</t>
  </si>
  <si>
    <t xml:space="preserve">August model; same in every scenario</t>
  </si>
  <si>
    <t xml:space="preserve">FBA fulfillment fee per unit, Year 1 (hero basis)</t>
  </si>
  <si>
    <t xml:space="preserve">Storage and inbound % of revenue</t>
  </si>
  <si>
    <t xml:space="preserve">Professional seller fee per month</t>
  </si>
  <si>
    <t xml:space="preserve">One time launch costs in Month 1</t>
  </si>
  <si>
    <t xml:space="preserve">Year 2 to Year 5 drivers (Year 2 changes start in Month 19, after the August horizon)</t>
  </si>
  <si>
    <t xml:space="preserve">Year 2 driver start month (ocean landed cost, fixed cost step up, compliance, FBA fee inflation, Year 2 returns and the Months 19 to 24 ad rate begin here)</t>
  </si>
  <si>
    <t xml:space="preserve">month</t>
  </si>
  <si>
    <t xml:space="preserve">Month 19 is the first month after the August 18 month horizon; the compliance charge is spread over the months from here to Month 24</t>
  </si>
  <si>
    <t xml:space="preserve">Ad spend % Months 19 to 24</t>
  </si>
  <si>
    <t xml:space="preserve">Low and Medium carry the Months 13 to 18 rate; High steps to its Year 3 rate so the Year 2 ad spend across all channels stays above the 8% floor (8.1% blended; at 8% Amazon only it diluted to 7.4%)</t>
  </si>
  <si>
    <t xml:space="preserve">Months 19 to 24 units added per month on top of Month 18</t>
  </si>
  <si>
    <t xml:space="preserve">units</t>
  </si>
  <si>
    <t xml:space="preserve">Low flat at Month 18</t>
  </si>
  <si>
    <t xml:space="preserve">Lost quarter factor (listing suppression or account health event)</t>
  </si>
  <si>
    <t xml:space="preserve">Low case only: units at 10% of trend for three months</t>
  </si>
  <si>
    <t xml:space="preserve">Lost quarter start month (three months)</t>
  </si>
  <si>
    <t xml:space="preserve">Spec 2.5 said Months 15 to 17; moved to Months 19 to 21 so the Low 18 month block reproduces the August Low case, per the brief</t>
  </si>
  <si>
    <t xml:space="preserve">Returns % Year 2 onward (from Month 19)</t>
  </si>
  <si>
    <t xml:space="preserve">never below 2%</t>
  </si>
  <si>
    <t xml:space="preserve">FBA fee inflation per year from Year 2</t>
  </si>
  <si>
    <t xml:space="preserve">Landed COGS % change vs base, Year 2 (from Month 19)</t>
  </si>
  <si>
    <t xml:space="preserve">pts</t>
  </si>
  <si>
    <t xml:space="preserve">ocean freight and volume</t>
  </si>
  <si>
    <t xml:space="preserve">Landed COGS % change vs base, Year 3</t>
  </si>
  <si>
    <t xml:space="preserve">spec starting value Medium minus 2.5; held at the Year 2 benefit</t>
  </si>
  <si>
    <t xml:space="preserve">Landed COGS % change vs base, Year 4</t>
  </si>
  <si>
    <t xml:space="preserve">spec starting value Medium minus 2.0; creep back starts in Year 4 so the Medium net margin compresses at least 1 point from Year 3 to Year 4</t>
  </si>
  <si>
    <t xml:space="preserve">Landed COGS % change vs base, Year 5</t>
  </si>
  <si>
    <t xml:space="preserve">creep back toward base (factory price increases, freight volatility); spec starting values minus 1.5 and minus 0.5</t>
  </si>
  <si>
    <t xml:space="preserve">Amazon US unit growth Year 3</t>
  </si>
  <si>
    <t xml:space="preserve">spec starting values Low 5, Medium 30, High 35; Low raised 5 points (within the ±5 bound) so Year 5 lands in the 0.7 to 1.2M band</t>
  </si>
  <si>
    <t xml:space="preserve">Amazon US unit growth Year 4</t>
  </si>
  <si>
    <t xml:space="preserve">Low raised 5 points within bound</t>
  </si>
  <si>
    <t xml:space="preserve">Amazon US unit growth Year 5</t>
  </si>
  <si>
    <t xml:space="preserve">ASP change per year from Year 3 (price competition)</t>
  </si>
  <si>
    <t xml:space="preserve">spec starting values minus 3, minus 2, minus 1.5 per year; deepened so contribution margin falls at least 1 point a year overall and Year 5 net lands in band</t>
  </si>
  <si>
    <t xml:space="preserve">Roadmap SKU mix uplift to ASP in Year 3 (HDMI 2.2 16K, DP 2.1, USB4 AOC)</t>
  </si>
  <si>
    <t xml:space="preserve">Low has no capital for roadmap SKUs</t>
  </si>
  <si>
    <t xml:space="preserve">Ad spend % Year 3</t>
  </si>
  <si>
    <t xml:space="preserve">spec starting values 12, 9.5, 9.0; raised so competition compresses margin at least 1 point a year; never below 8%</t>
  </si>
  <si>
    <t xml:space="preserve">Ad spend % Year 4</t>
  </si>
  <si>
    <t xml:space="preserve">spec starting values 12, 9.0, 8.5; see Year 3 note</t>
  </si>
  <si>
    <t xml:space="preserve">Ad spend % Year 5</t>
  </si>
  <si>
    <t xml:space="preserve">spec starting values 12, 8.5, 8.0; see Year 3 note; never below 8%; Low 16.5% so the Low Year 5 net is at or below zero (the listing buys rank it cannot earn from reviews)</t>
  </si>
  <si>
    <t xml:space="preserve">Fixed costs per month Year 2 (from Month 19)</t>
  </si>
  <si>
    <t xml:space="preserve">High 1.3 times Medium</t>
  </si>
  <si>
    <t xml:space="preserve">Fixed costs per month Year 3</t>
  </si>
  <si>
    <t xml:space="preserve">Medium adds Mark consulting retainer 2,000, virtual assistant 1,000, tools and insurance 1,000; Low frozen</t>
  </si>
  <si>
    <t xml:space="preserve">Fixed costs per month Year 4</t>
  </si>
  <si>
    <t xml:space="preserve">Fixed costs per month Year 5</t>
  </si>
  <si>
    <t xml:space="preserve">eBay and Walmart overflow, % of Amazon US revenue, Year 2</t>
  </si>
  <si>
    <t xml:space="preserve">eBay and Walmart overflow, % of Amazon US revenue, Year 3</t>
  </si>
  <si>
    <t xml:space="preserve">eBay and Walmart overflow, % of Amazon US revenue, Year 4</t>
  </si>
  <si>
    <t xml:space="preserve">eBay and Walmart overflow, % of Amazon US revenue, Year 5</t>
  </si>
  <si>
    <t xml:space="preserve">B2B installer and AV integrator revenue, Year 2</t>
  </si>
  <si>
    <t xml:space="preserve">High 1.8 times Medium</t>
  </si>
  <si>
    <t xml:space="preserve">B2B installer and AV integrator revenue, Year 3</t>
  </si>
  <si>
    <t xml:space="preserve">Low 60K flat from Year 3</t>
  </si>
  <si>
    <t xml:space="preserve">B2B installer and AV integrator revenue, Year 4</t>
  </si>
  <si>
    <t xml:space="preserve">B2B installer and AV integrator revenue, Year 5</t>
  </si>
  <si>
    <t xml:space="preserve">DTC site revenue, Year 3</t>
  </si>
  <si>
    <t xml:space="preserve">DTC site revenue, Year 4</t>
  </si>
  <si>
    <t xml:space="preserve">DTC site revenue, Year 5</t>
  </si>
  <si>
    <t xml:space="preserve">Amazon Canada revenue, Year 4</t>
  </si>
  <si>
    <t xml:space="preserve">Amazon Canada revenue, Year 5</t>
  </si>
  <si>
    <t xml:space="preserve">Pro line revenue, Year 4</t>
  </si>
  <si>
    <t xml:space="preserve">Pro line revenue, Year 5</t>
  </si>
  <si>
    <t xml:space="preserve">Channel economics (same in every scenario; management estimates)</t>
  </si>
  <si>
    <t xml:space="preserve">eBay and Walmart referral %</t>
  </si>
  <si>
    <t xml:space="preserve">eBay and Walmart multi channel fulfillment per unit</t>
  </si>
  <si>
    <t xml:space="preserve">eBay and Walmart ads % of revenue</t>
  </si>
  <si>
    <t xml:space="preserve">eBay and Walmart returns %</t>
  </si>
  <si>
    <t xml:space="preserve">B2B price as a share of retail ASP</t>
  </si>
  <si>
    <t xml:space="preserve">B2B 3PL pick pack ship per unit</t>
  </si>
  <si>
    <t xml:space="preserve">B2B sales commission %</t>
  </si>
  <si>
    <t xml:space="preserve">B2B marketing %</t>
  </si>
  <si>
    <t xml:space="preserve">B2B returns %</t>
  </si>
  <si>
    <t xml:space="preserve">DTC payment processing %</t>
  </si>
  <si>
    <t xml:space="preserve">DTC fulfillment and shipping per unit</t>
  </si>
  <si>
    <t xml:space="preserve">DTC ads %</t>
  </si>
  <si>
    <t xml:space="preserve">DTC returns %</t>
  </si>
  <si>
    <t xml:space="preserve">Amazon Canada ASP as a share of US ASP (8% below)</t>
  </si>
  <si>
    <t xml:space="preserve">Amazon Canada FBA fee per unit</t>
  </si>
  <si>
    <t xml:space="preserve">Amazon Canada referral %</t>
  </si>
  <si>
    <t xml:space="preserve">Amazon Canada ads %</t>
  </si>
  <si>
    <t xml:space="preserve">Amazon Canada returns %</t>
  </si>
  <si>
    <t xml:space="preserve">Duty on US to Canada transfer [PLACEHOLDER: broker check]</t>
  </si>
  <si>
    <t xml:space="preserve">Pro line ASP</t>
  </si>
  <si>
    <t xml:space="preserve">Pro line landed COGS %</t>
  </si>
  <si>
    <t xml:space="preserve">Pro line share sold B2B (rest on Amazon)</t>
  </si>
  <si>
    <t xml:space="preserve">Pro line FBA fee per unit (large tier)</t>
  </si>
  <si>
    <t xml:space="preserve">Pro line Amazon ads %</t>
  </si>
  <si>
    <t xml:space="preserve">Pro line Amazon returns %</t>
  </si>
  <si>
    <t xml:space="preserve">Pro line Amazon storage and inbound %</t>
  </si>
  <si>
    <t xml:space="preserve">Compliance costs per year from Year 2 (Year 1 is inside the August fixed 850 per month and the 9,500 launch costs)</t>
  </si>
  <si>
    <t xml:space="preserve">Form 5472 preparation (with pro forma Form 1120)</t>
  </si>
  <si>
    <t xml:space="preserve">Wyoming annual report</t>
  </si>
  <si>
    <t xml:space="preserve">Customs continuous bond renewal</t>
  </si>
  <si>
    <t xml:space="preserve">Product liability insurance ($1M cover) per year once monthly sales pass $10K</t>
  </si>
  <si>
    <t xml:space="preserve">Trademark maintenance in Year 5 [PLACEHOLDER: attorney quote]</t>
  </si>
  <si>
    <t xml:space="preserve">Working capital</t>
  </si>
  <si>
    <t xml:space="preserve">Inventory cover target, months of forward units</t>
  </si>
  <si>
    <t xml:space="preserve">months</t>
  </si>
  <si>
    <t xml:space="preserve">Ocean freight from Month (before that air)</t>
  </si>
  <si>
    <t xml:space="preserve">after the Day 90 gate for proven SKUs; Low stays on air</t>
  </si>
  <si>
    <t xml:space="preserve">Air freight lead time, months (order to arrival)</t>
  </si>
  <si>
    <t xml:space="preserve">spec 2.6</t>
  </si>
  <si>
    <t xml:space="preserve">Ocean freight lead time, months (order to arrival)</t>
  </si>
  <si>
    <t xml:space="preserve">Inventory days of landed COGS, Years 3 to 5</t>
  </si>
  <si>
    <t xml:space="preserve">days</t>
  </si>
  <si>
    <t xml:space="preserve">spec 2.6 starting values 90, 75, 60; raised to the days implied by the Month 24 stock (cover months plus one lead time in transit) so Year 3 does not release cash artificially</t>
  </si>
  <si>
    <t xml:space="preserve">Opening capital (self funded, August ask)</t>
  </si>
  <si>
    <t xml:space="preserve">DECISIONS.md</t>
  </si>
  <si>
    <t xml:space="preserve">PO deposit at order (balance at shipment)</t>
  </si>
  <si>
    <t xml:space="preserve">30% at order, 70% at shipment</t>
  </si>
  <si>
    <t xml:space="preserve">Amazon payout lag, days (receivable = lag/30 of the month's net proceeds)</t>
  </si>
  <si>
    <t xml:space="preserve">brief</t>
  </si>
  <si>
    <t xml:space="preserve">Receivable days of revenue, Years 3 to 5</t>
  </si>
  <si>
    <t xml:space="preserve">Funding gap cushion on the negative minimum balance</t>
  </si>
  <si>
    <t xml:space="preserve">1.2 times</t>
  </si>
  <si>
    <t xml:space="preserve">FX embedded in the KRW cost base, KRW per USD</t>
  </si>
  <si>
    <t xml:space="preserve">the only verified cost data is in KRW; a USD factory quote removes the FX effect</t>
  </si>
  <si>
    <t xml:space="preserve">Gate thresholds (spec 2.7; same in every scenario). The Funding and Breakeven tab and the three Scenario Summary engines read these cells, so one edit moves every PASS and KILL test and its wording</t>
  </si>
  <si>
    <t xml:space="preserve">Day 90: unit session conversion, pass at or above (3 of 5 launch SKUs; observed)</t>
  </si>
  <si>
    <t xml:space="preserve">spec 2.7 (the brief asks for the gates in numbers; the numbers are management estimates)</t>
  </si>
  <si>
    <t xml:space="preserve">Day 90: hero conversion, kill below (observed)</t>
  </si>
  <si>
    <t xml:space="preserve">Day 90: TACOS in Month 3, pass at or below</t>
  </si>
  <si>
    <t xml:space="preserve">Day 90: TACOS in Month 3, kill above</t>
  </si>
  <si>
    <t xml:space="preserve">Day 90: return rate, pass at or below</t>
  </si>
  <si>
    <t xml:space="preserve">Day 90: return rate, kill above</t>
  </si>
  <si>
    <t xml:space="preserve">Day 90: contribution per unit before advertising, pass at or above</t>
  </si>
  <si>
    <t xml:space="preserve">Day 90: hero contribution per unit before advertising, kill below</t>
  </si>
  <si>
    <t xml:space="preserve">Day 90: cash runway after funding, months, pass at or above</t>
  </si>
  <si>
    <t xml:space="preserve">Day 90: cash runway, months, kill below</t>
  </si>
  <si>
    <t xml:space="preserve">Day 90: suppressed listing or IP complaint open more than this many days is a kill (observed)</t>
  </si>
  <si>
    <t xml:space="preserve">Month 12: monthly revenue, pass at or above</t>
  </si>
  <si>
    <t xml:space="preserve">Month 12: monthly revenue, kill below</t>
  </si>
  <si>
    <t xml:space="preserve">Month 12: cumulative net, pass at or above</t>
  </si>
  <si>
    <t xml:space="preserve">Month 12: cumulative net, kill below</t>
  </si>
  <si>
    <t xml:space="preserve">Month 12: TACOS, pass at or below</t>
  </si>
  <si>
    <t xml:space="preserve">Month 12: TACOS, kill above</t>
  </si>
  <si>
    <t xml:space="preserve">Month 12: return rate, pass at or below</t>
  </si>
  <si>
    <t xml:space="preserve">Month 12: return rate, kill above</t>
  </si>
  <si>
    <t xml:space="preserve">Month 12: funding gap above this with three negative operating cash flow months is a kill</t>
  </si>
  <si>
    <t xml:space="preserve">Unit ramp by month (Amazon US). Column I holds the August Medium ramp; Low and High scale it; Months 19 to 24 extend it; the Low lost quarter applies by formula</t>
  </si>
  <si>
    <t xml:space="preserve">Month</t>
  </si>
  <si>
    <t xml:space="preserve">Index</t>
  </si>
  <si>
    <t xml:space="preserve">August Medium ramp (input)</t>
  </si>
  <si>
    <t xml:space="preserve">Month 1</t>
  </si>
  <si>
    <t xml:space="preserve">August deck ramp times the scenario multiplier</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</si>
  <si>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</si>
  <si>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</si>
  <si>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</si>
  <si>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</si>
  <si>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</si>
  <si>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</si>
  <si>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</si>
  <si>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</si>
  <si>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</si>
  <si>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</si>
  <si>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</si>
  <si>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Month 13</t>
  </si>
  <si>
    <t xml:space="preserve">Month 14</t>
  </si>
  <si>
    <t xml:space="preserve">Month 15</t>
  </si>
  <si>
    <t xml:space="preserve">Month 16</t>
  </si>
  <si>
    <t xml:space="preserve">Month 17</t>
  </si>
  <si>
    <t xml:space="preserve">Month 18</t>
  </si>
  <si>
    <t xml:space="preserve">Month 19</t>
  </si>
  <si>
    <t xml:space="preserve">Month 18 plus the monthly addition; Low flat</t>
  </si>
  <si>
    <t xml:space="preserve">Month 20</t>
  </si>
  <si>
    <t xml:space="preserve">Month 21</t>
  </si>
  <si>
    <t xml:space="preserve">Month 22</t>
  </si>
  <si>
    <t xml:space="preserve">Month 23</t>
  </si>
  <si>
    <t xml:space="preserve">Month 24</t>
  </si>
  <si>
    <t xml:space="preserve">The only verified cost data is in KRW (August deal). FX moves landed COGS % through the hero FOB share. A USD factory quote removes this effect.</t>
  </si>
  <si>
    <t xml:space="preserve">Active FX rate, KRW per USD (input on Assumptions)</t>
  </si>
  <si>
    <t xml:space="preserve">Item</t>
  </si>
  <si>
    <t xml:space="preserve">Scenario 1,300</t>
  </si>
  <si>
    <t xml:space="preserve">Scenario 1,430</t>
  </si>
  <si>
    <t xml:space="preserve">Scenario 1,550</t>
  </si>
  <si>
    <t xml:space="preserve">FX rate, KRW per USD</t>
  </si>
  <si>
    <t xml:space="preserve">Evidence based default 1,430; scenarios per the brief</t>
  </si>
  <si>
    <t xml:space="preserve">August 2026 deal totals (inputs from inputs/august_deal_totals.csv; H2 Company to Dioptek, 1,400 units)</t>
  </si>
  <si>
    <t xml:space="preserve">August deal units</t>
  </si>
  <si>
    <t xml:space="preserve">Evidence based: August 2026 deal (inputs/august_deal_totals.csv)</t>
  </si>
  <si>
    <t xml:space="preserve">August deal cost, KRW</t>
  </si>
  <si>
    <t xml:space="preserve">August deal revenue ex VAT, KRW</t>
  </si>
  <si>
    <t xml:space="preserve">August deal gross profit, KRW</t>
  </si>
  <si>
    <t xml:space="preserve">August deal gross margin (gross profit divided by revenue)</t>
  </si>
  <si>
    <t xml:space="preserve">20.3% in the brief</t>
  </si>
  <si>
    <t xml:space="preserve">Conversions at the active FX rate and the three FX scenarios</t>
  </si>
  <si>
    <t xml:space="preserve">Hero FOB USD (8K 10M, KRW 11,470 times the FOB factor)</t>
  </si>
  <si>
    <t xml:space="preserve">Evidence based KRW cost</t>
  </si>
  <si>
    <t xml:space="preserve">Landed COGS % delta vs the 1,430 cost base (hero FOB share times (1,430 / FX minus 1))</t>
  </si>
  <si>
    <t xml:space="preserve">Model formula</t>
  </si>
  <si>
    <t xml:space="preserve">Opening capital $39,000 in KRW</t>
  </si>
  <si>
    <t xml:space="preserve">August deal cost in USD</t>
  </si>
  <si>
    <t xml:space="preserve">August deal (input above)</t>
  </si>
  <si>
    <t xml:space="preserve">August deal revenue ex VAT in USD</t>
  </si>
  <si>
    <t xml:space="preserve">August deal gross profit in USD</t>
  </si>
  <si>
    <t xml:space="preserve">August deal (input above; about $3,500 at 1,430)</t>
  </si>
  <si>
    <t xml:space="preserve">Hero H2 cost KRW 11,470 in USD (Korea landed)</t>
  </si>
  <si>
    <t xml:space="preserve">August deal</t>
  </si>
  <si>
    <t xml:space="preserve">Profit repatriation examples (active scenario)</t>
  </si>
  <si>
    <t xml:space="preserve">Year 1 net (active scenario) in KRW</t>
  </si>
  <si>
    <t xml:space="preserve">Model</t>
  </si>
  <si>
    <t xml:space="preserve">Year 5 net (active scenario) in KRW</t>
  </si>
  <si>
    <t xml:space="preserve">Cumulative 5 year net (active scenario) in KRW</t>
  </si>
  <si>
    <t xml:space="preserve">Model; before US and Korean tax</t>
  </si>
  <si>
    <t xml:space="preserve">Korean overseas financial account report threshold: KRW 500M month end aggregate (flag for the tax accountant). Overseas direct investment report before capital moves (any stake 10% or more, any amount).</t>
  </si>
  <si>
    <t xml:space="preserve">FOB China = H2 landed Korea cost in KRW divided by FX times the FOB factor. Duty columns use the duty table. Air and ocean landed costs use the active duty scenario. Hero row highlighted.</t>
  </si>
  <si>
    <t xml:space="preserve">SKU</t>
  </si>
  <si>
    <t xml:space="preserve">Spec (internal only)</t>
  </si>
  <si>
    <t xml:space="preserve">Length m</t>
  </si>
  <si>
    <t xml:space="preserve">H2 cost KRW</t>
  </si>
  <si>
    <t xml:space="preserve">FOB USD</t>
  </si>
  <si>
    <t xml:space="preserve">US list</t>
  </si>
  <si>
    <t xml:space="preserve">US sale price (ASP)</t>
  </si>
  <si>
    <t xml:space="preserve">Packaged lb</t>
  </si>
  <si>
    <t xml:space="preserve">kg</t>
  </si>
  <si>
    <t xml:space="preserve">Air freight</t>
  </si>
  <si>
    <t xml:space="preserve">Ocean freight</t>
  </si>
  <si>
    <t xml:space="preserve">Duty copper</t>
  </si>
  <si>
    <t xml:space="preserve">Duty fiber</t>
  </si>
  <si>
    <t xml:space="preserve">Duty stress</t>
  </si>
  <si>
    <t xml:space="preserve">Duty active</t>
  </si>
  <si>
    <t xml:space="preserve">MPF and HMF (ocean)</t>
  </si>
  <si>
    <t xml:space="preserve">Broker and bond</t>
  </si>
  <si>
    <t xml:space="preserve">FBA inbound and prep</t>
  </si>
  <si>
    <t xml:space="preserve">QC and labels</t>
  </si>
  <si>
    <t xml:space="preserve">Landed air</t>
  </si>
  <si>
    <t xml:space="preserve">Landed ocean</t>
  </si>
  <si>
    <t xml:space="preserve">Landed air %</t>
  </si>
  <si>
    <t xml:space="preserve">Landed ocean %</t>
  </si>
  <si>
    <t xml:space="preserve">FBA fee</t>
  </si>
  <si>
    <t xml:space="preserve">Referral 15%</t>
  </si>
  <si>
    <t xml:space="preserve">Ads</t>
  </si>
  <si>
    <t xml:space="preserve">Returns and storage</t>
  </si>
  <si>
    <t xml:space="preserve">Net air</t>
  </si>
  <si>
    <t xml:space="preserve">Net air %</t>
  </si>
  <si>
    <t xml:space="preserve">Net ocean</t>
  </si>
  <si>
    <t xml:space="preserve">Net ocean %</t>
  </si>
  <si>
    <t xml:space="preserve">Launch SKU</t>
  </si>
  <si>
    <t xml:space="preserve">8K_7M</t>
  </si>
  <si>
    <t xml:space="preserve">HDMI 2.1 8K hybrid AOC</t>
  </si>
  <si>
    <t xml:space="preserve">Yes</t>
  </si>
  <si>
    <t xml:space="preserve">8K_10M</t>
  </si>
  <si>
    <t xml:space="preserve">HDMI 2.1 8K hybrid AOC (hero)</t>
  </si>
  <si>
    <t xml:space="preserve">8K_15M</t>
  </si>
  <si>
    <t xml:space="preserve">8K_20M</t>
  </si>
  <si>
    <t xml:space="preserve">8K_25M</t>
  </si>
  <si>
    <t xml:space="preserve">No</t>
  </si>
  <si>
    <t xml:space="preserve">8K_50M</t>
  </si>
  <si>
    <t xml:space="preserve">4K_15M</t>
  </si>
  <si>
    <t xml:space="preserve">HDMI 2.0 4K hybrid AOC</t>
  </si>
  <si>
    <t xml:space="preserve">4K_20M</t>
  </si>
  <si>
    <t xml:space="preserve">4K_30M</t>
  </si>
  <si>
    <t xml:space="preserve">4K_40M</t>
  </si>
  <si>
    <t xml:space="preserve">Basis: H2 cost KRW evidence based (August deal). FOB factor, freight, fees, weights, US prices and FBA fees are management estimates pending the Amazon rate card check. The spec column is internal: packaging and listings use the category names (Ultra High Speed HDMI Cable; Premium High Speed HDMI Cable pending certification).</t>
  </si>
  <si>
    <t xml:space="preserve">Cost build constants</t>
  </si>
  <si>
    <t xml:space="preserve">FOB factor on the H2 Korea landed cost (removes Korea inbound freight and handling)</t>
  </si>
  <si>
    <t xml:space="preserve">Air freight DDP per kg packaged</t>
  </si>
  <si>
    <t xml:space="preserve">consolidated express, first lots</t>
  </si>
  <si>
    <t xml:space="preserve">Ocean LCL plus drayage per kg packaged</t>
  </si>
  <si>
    <t xml:space="preserve">Kilograms per pound</t>
  </si>
  <si>
    <t xml:space="preserve">Merchandise processing and harbor maintenance fees, % of FOB, ocean only</t>
  </si>
  <si>
    <t xml:space="preserve">Broker entry fee and continuous bond, amortized per unit</t>
  </si>
  <si>
    <t xml:space="preserve">$150 per entry plus $500 per year bond at launch volumes</t>
  </si>
  <si>
    <t xml:space="preserve">FBA inbound placement and prep per unit</t>
  </si>
  <si>
    <t xml:space="preserve">Third party QC and FNSKU labeling at the factory per unit</t>
  </si>
  <si>
    <t xml:space="preserve">Advertising % of price for unit economics (August hero: $5.40 on $44.99)</t>
  </si>
  <si>
    <t xml:space="preserve">Returns and storage reserve % of price (3% returns plus 2% storage and inbound)</t>
  </si>
  <si>
    <t xml:space="preserve">FBA fee used in the August hero unit economics</t>
  </si>
  <si>
    <t xml:space="preserve">Alibaba benchmark FOB, low, comparable 30 ft (9 m) AOC</t>
  </si>
  <si>
    <t xml:space="preserve">quote, flagged</t>
  </si>
  <si>
    <t xml:space="preserve">Alibaba benchmark FOB, high</t>
  </si>
  <si>
    <t xml:space="preserve">Hero SKU unit economics, August model (evidence based): 8K AOC 10M on Amazon US</t>
  </si>
  <si>
    <t xml:space="preserve">Price</t>
  </si>
  <si>
    <t xml:space="preserve">List price</t>
  </si>
  <si>
    <t xml:space="preserve">Landed cost % (assumed 38% pending the customs ruling)</t>
  </si>
  <si>
    <t xml:space="preserve">Landed cost</t>
  </si>
  <si>
    <t xml:space="preserve">Referral %</t>
  </si>
  <si>
    <t xml:space="preserve">Referral</t>
  </si>
  <si>
    <t xml:space="preserve">FBA fulfillment</t>
  </si>
  <si>
    <t xml:space="preserve">Advertising % (blended)</t>
  </si>
  <si>
    <t xml:space="preserve">Advertising</t>
  </si>
  <si>
    <t xml:space="preserve">Returns and storage reserve %</t>
  </si>
  <si>
    <t xml:space="preserve">Returns and storage reserve</t>
  </si>
  <si>
    <t xml:space="preserve">Net per unit</t>
  </si>
  <si>
    <t xml:space="preserve">Net %</t>
  </si>
  <si>
    <t xml:space="preserve">Korea wholesale gross on the same unit</t>
  </si>
  <si>
    <t xml:space="preserve">Contribution per unit before advertising</t>
  </si>
  <si>
    <t xml:space="preserve">Hero FOB share of the August price (hero FOB USD at the FX embedded in the KRW cost base, 1,430, divided by $44.99): drives the duty and FX effect on landed COGS %. Held at the base FX so the FX delta formula (spec 2.4) is the only FX effect</t>
  </si>
  <si>
    <t xml:space="preserve">Hero FOB USD at the active FX rate</t>
  </si>
  <si>
    <t xml:space="preserve">Three cost bases for the hero SKU at $44.99 (air freight, active duty scenario). The gap between (a) and (c) is the single largest unverified assumption in the plan.</t>
  </si>
  <si>
    <t xml:space="preserve">Cost basis</t>
  </si>
  <si>
    <t xml:space="preserve">Freight, duty, fees</t>
  </si>
  <si>
    <t xml:space="preserve">Landed %</t>
  </si>
  <si>
    <t xml:space="preserve">Net per unit at $44.99 (August fees)</t>
  </si>
  <si>
    <t xml:space="preserve">(a) H2 cost base (August deal KRW, FOB factor, bottom up)</t>
  </si>
  <si>
    <t xml:space="preserve">Evidence based cost, management estimate build</t>
  </si>
  <si>
    <t xml:space="preserve">(b) August model assumption (38% of price)</t>
  </si>
  <si>
    <t xml:space="preserve">Evidence based (August deck assumption)</t>
  </si>
  <si>
    <t xml:space="preserve">(c) Alibaba benchmark FOB $17 (comparable 30 ft AOC)</t>
  </si>
  <si>
    <t xml:space="preserve">Evidence based quote, flagged</t>
  </si>
  <si>
    <t xml:space="preserve">(c) Alibaba benchmark FOB $22</t>
  </si>
  <si>
    <t xml:space="preserve">At the Alibaba cost the hero SKU loses money at $44.99. Verify the factory FOB quote in USD before the first purchase order.</t>
  </si>
  <si>
    <t xml:space="preserve">Landed Cost and Tariff Scenarios</t>
  </si>
  <si>
    <t xml:space="preserve">Duty is a selector (DutyScenario on Assumptions). The 12.5% Section 301 forced labor rate applies whichever classification the CBP binding ruling gives.</t>
  </si>
  <si>
    <t xml:space="preserve">Scenario</t>
  </si>
  <si>
    <t xml:space="preserve">HTS</t>
  </si>
  <si>
    <t xml:space="preserve">MFN</t>
  </si>
  <si>
    <t xml:space="preserve">Section 301 list rate</t>
  </si>
  <si>
    <t xml:space="preserve">Section 301 forced labor (late July 2026)</t>
  </si>
  <si>
    <t xml:space="preserve">Pending second Section 301 action</t>
  </si>
  <si>
    <t xml:space="preserve">Total duty rate</t>
  </si>
  <si>
    <t xml:space="preserve">Copper</t>
  </si>
  <si>
    <t xml:space="preserve">8544.42.90</t>
  </si>
  <si>
    <t xml:space="preserve">Fiber</t>
  </si>
  <si>
    <t xml:space="preserve">8544.70.00</t>
  </si>
  <si>
    <t xml:space="preserve">Evidence based rates; List 3 coverage of 8544.70.00 is a broker check [PLACEHOLDER]</t>
  </si>
  <si>
    <t xml:space="preserve">Stress</t>
  </si>
  <si>
    <t xml:space="preserve">8544.42.90 plus pending second Section 301 action</t>
  </si>
  <si>
    <t xml:space="preserve">Fiber if also on List 3 (check row only, not selectable)</t>
  </si>
  <si>
    <t xml:space="preserve">Shown as a check row only</t>
  </si>
  <si>
    <t xml:space="preserve">Active duty rate (selected scenario)</t>
  </si>
  <si>
    <t xml:space="preserve">Copper rate (the rate embedded in the base landed COGS %)</t>
  </si>
  <si>
    <t xml:space="preserve">Landed COGS % build for the active scenario (P&amp;L)</t>
  </si>
  <si>
    <t xml:space="preserve">Base landed COGS % (Assumptions, Active: Low 43%, Medium 38%, High 32%)</t>
  </si>
  <si>
    <t xml:space="preserve">Duty delta = (active duty rate minus copper rate) times hero FOB share of price</t>
  </si>
  <si>
    <t xml:space="preserve">Freight mode delta (points; 0 because the base already assumes air then ocean; the Year 2 landed change carries the ocean benefit)</t>
  </si>
  <si>
    <t xml:space="preserve">FX delta = hero FOB share times (FX embedded in the cost base divided by FXRate, minus 1)</t>
  </si>
  <si>
    <t xml:space="preserve">Active landed COGS % used by the P&amp;L</t>
  </si>
  <si>
    <t xml:space="preserve">Note: the High base of 32% already assumes the fiber ruling, ocean freight and volume pricing. Selecting Fiber duty with High counts the ruling twice. Use Medium plus Fiber to see the ruling effect (about 33.5%, the August lever 38% to 33%).</t>
  </si>
  <si>
    <t xml:space="preserve">Landed COGS % by scenario and duty scenario at the active FX rate (used by the Scenario Summary engines)</t>
  </si>
  <si>
    <t xml:space="preserve">At active duty</t>
  </si>
  <si>
    <t xml:space="preserve">Hero net per unit at active duty (August fees, $44.99)</t>
  </si>
  <si>
    <t xml:space="preserve">Hero net per unit by duty scenario (Medium base 38%, August fees, price $44.99) and the waterfall data for the chart</t>
  </si>
  <si>
    <t xml:space="preserve">Duty scenario</t>
  </si>
  <si>
    <t xml:space="preserve">Duty rate</t>
  </si>
  <si>
    <t xml:space="preserve">Hero net per unit</t>
  </si>
  <si>
    <t xml:space="preserve">Waterfall label</t>
  </si>
  <si>
    <t xml:space="preserve">Invisible base</t>
  </si>
  <si>
    <t xml:space="preserve">Bar value</t>
  </si>
  <si>
    <t xml:space="preserve">Bar color</t>
  </si>
  <si>
    <t xml:space="preserve">Copper net</t>
  </si>
  <si>
    <t xml:space="preserve">value</t>
  </si>
  <si>
    <t xml:space="preserve">Fiber ruling uplift</t>
  </si>
  <si>
    <t xml:space="preserve">up</t>
  </si>
  <si>
    <t xml:space="preserve">Fiber net</t>
  </si>
  <si>
    <t xml:space="preserve">Stress penalty</t>
  </si>
  <si>
    <t xml:space="preserve">down</t>
  </si>
  <si>
    <t xml:space="preserve">Stress net</t>
  </si>
  <si>
    <t xml:space="preserve">Tariff stack by scenario (for the stacked chart)</t>
  </si>
  <si>
    <t xml:space="preserve">Section 301 list</t>
  </si>
  <si>
    <t xml:space="preserve">Section 301 forced labor</t>
  </si>
  <si>
    <t xml:space="preserve">Pending second action</t>
  </si>
  <si>
    <t xml:space="preserve">Total</t>
  </si>
  <si>
    <t xml:space="preserve">Monthly P&amp;L, Years 1 and 2 (Months 1 to 24)</t>
  </si>
  <si>
    <t xml:space="preserve">Monthly P&amp;L engine, active scenario</t>
  </si>
  <si>
    <t xml:space="preserve">Line</t>
  </si>
  <si>
    <t xml:space="preserve">Month 0 (pre launch)</t>
  </si>
  <si>
    <t xml:space="preserve">Year 1</t>
  </si>
  <si>
    <t xml:space="preserve">Year 2</t>
  </si>
  <si>
    <t xml:space="preserve">Month index</t>
  </si>
  <si>
    <t xml:space="preserve">Months 1 to 12</t>
  </si>
  <si>
    <t xml:space="preserve">Months 13 to 24</t>
  </si>
  <si>
    <t xml:space="preserve">Amazon US (Months 1 to 18 reproduce the August model; Year 2 driver changes start in Month 19)</t>
  </si>
  <si>
    <t xml:space="preserve">Units sold</t>
  </si>
  <si>
    <t xml:space="preserve">ASP</t>
  </si>
  <si>
    <t xml:space="preserve">$ per unit</t>
  </si>
  <si>
    <t xml:space="preserve">Revenue</t>
  </si>
  <si>
    <t xml:space="preserve">Landed COGS</t>
  </si>
  <si>
    <t xml:space="preserve">Referral fee</t>
  </si>
  <si>
    <t xml:space="preserve">Returns</t>
  </si>
  <si>
    <t xml:space="preserve">Storage and inbound</t>
  </si>
  <si>
    <t xml:space="preserve">Contribution, Amazon US (after advertising)</t>
  </si>
  <si>
    <t xml:space="preserve">Fixed (software, insurance, misc; people from Year 3)</t>
  </si>
  <si>
    <t xml:space="preserve">Professional seller fee</t>
  </si>
  <si>
    <t xml:space="preserve">One time launch costs</t>
  </si>
  <si>
    <t xml:space="preserve">Compliance (Form 5472, Wyoming report, bond, insurance; spread over the months from the Year 2 start month to Month 24)</t>
  </si>
  <si>
    <t xml:space="preserve">Net, Amazon US after fixed costs (August basis)</t>
  </si>
  <si>
    <t xml:space="preserve">Cumulative net</t>
  </si>
  <si>
    <t xml:space="preserve">Net margin</t>
  </si>
  <si>
    <t xml:space="preserve">TACOS (advertising divided by revenue)</t>
  </si>
  <si>
    <t xml:space="preserve">Contribution per unit after advertising</t>
  </si>
  <si>
    <t xml:space="preserve">Cumulative breakeven flag (1 when cumulative net is at or above 0)</t>
  </si>
  <si>
    <t xml:space="preserve">flag</t>
  </si>
  <si>
    <t xml:space="preserve">Monthly drivers (from Assumptions)</t>
  </si>
  <si>
    <t xml:space="preserve">Landed COGS % of revenue (base plus duty, FX and the Year 2 change from the Year 2 start month)</t>
  </si>
  <si>
    <t xml:space="preserve">FBA fee per unit (inflation from the Year 2 start month)</t>
  </si>
  <si>
    <t xml:space="preserve">Returns % (Year 2 rate from the Year 2 start month)</t>
  </si>
  <si>
    <t xml:space="preserve">Ad spend % (phases: Months 1 to 3, 4 to 6, 7 to 12, 13 to 18, then the Year 2 start month to 24)</t>
  </si>
  <si>
    <t xml:space="preserve">Year 2 channels (Months 13 to 24) so Year 2 ties to the annual tab</t>
  </si>
  <si>
    <t xml:space="preserve">eBay and Walmart overflow revenue (% of Amazon US revenue)</t>
  </si>
  <si>
    <t xml:space="preserve">eBay and Walmart units</t>
  </si>
  <si>
    <t xml:space="preserve">eBay and Walmart landed COGS</t>
  </si>
  <si>
    <t xml:space="preserve">eBay and Walmart referral</t>
  </si>
  <si>
    <t xml:space="preserve">eBay and Walmart multi channel fulfillment</t>
  </si>
  <si>
    <t xml:space="preserve">eBay and Walmart advertising</t>
  </si>
  <si>
    <t xml:space="preserve">eBay and Walmart returns</t>
  </si>
  <si>
    <t xml:space="preserve">eBay and Walmart contribution</t>
  </si>
  <si>
    <t xml:space="preserve">B2B installer and AV integrator revenue (Year 2 total spread evenly)</t>
  </si>
  <si>
    <t xml:space="preserve">B2B units (price 60% of retail ASP)</t>
  </si>
  <si>
    <t xml:space="preserve">B2B landed COGS</t>
  </si>
  <si>
    <t xml:space="preserve">B2B 3PL pick pack ship</t>
  </si>
  <si>
    <t xml:space="preserve">B2B sales commission</t>
  </si>
  <si>
    <t xml:space="preserve">B2B marketing</t>
  </si>
  <si>
    <t xml:space="preserve">B2B returns</t>
  </si>
  <si>
    <t xml:space="preserve">B2B contribution</t>
  </si>
  <si>
    <t xml:space="preserve">All channels</t>
  </si>
  <si>
    <t xml:space="preserve">Revenue, all channels</t>
  </si>
  <si>
    <t xml:space="preserve">Net, all channels</t>
  </si>
  <si>
    <t xml:space="preserve">Cumulative net, all channels</t>
  </si>
  <si>
    <t xml:space="preserve">Net margin, all channels</t>
  </si>
  <si>
    <t xml:space="preserve">Eighteen month block (Amazon US only, August basis, Months 1 to 18)</t>
  </si>
  <si>
    <t xml:space="preserve">18 month revenue</t>
  </si>
  <si>
    <t xml:space="preserve">18 month net</t>
  </si>
  <si>
    <t xml:space="preserve">18 month net margin</t>
  </si>
  <si>
    <t xml:space="preserve">Cumulative breakeven month within 18 months (none if never)</t>
  </si>
  <si>
    <t xml:space="preserve">Month 18 run rate (Month 18 revenue times 12)</t>
  </si>
  <si>
    <t xml:space="preserve">Exit margin (Month 18 net margin)</t>
  </si>
  <si>
    <t xml:space="preserve">18 month units</t>
  </si>
  <si>
    <t xml:space="preserve">Cumulative breakeven month within 24 months (all channels)</t>
  </si>
  <si>
    <t xml:space="preserve">24 month revenue, all channels</t>
  </si>
  <si>
    <t xml:space="preserve">24 month net, all channels</t>
  </si>
  <si>
    <t xml:space="preserve">Annual P&amp;L, Years 1 to 5 by channel</t>
  </si>
  <si>
    <t xml:space="preserve">Annual P&amp;L engine, active scenario</t>
  </si>
  <si>
    <t xml:space="preserve">Year 3</t>
  </si>
  <si>
    <t xml:space="preserve">Year 4</t>
  </si>
  <si>
    <t xml:space="preserve">Year 5</t>
  </si>
  <si>
    <t xml:space="preserve">Amazon US drivers</t>
  </si>
  <si>
    <t xml:space="preserve">Amazon US units</t>
  </si>
  <si>
    <t xml:space="preserve">Years 1 and 2 from the monthly tab; then unit growth driver</t>
  </si>
  <si>
    <t xml:space="preserve">ASP (Years 3 to 5: yearly change plus the Year 3 roadmap mix uplift)</t>
  </si>
  <si>
    <t xml:space="preserve">Landed COGS % (active base plus duty, FX and the yearly change)</t>
  </si>
  <si>
    <t xml:space="preserve">Ad spend % of revenue</t>
  </si>
  <si>
    <t xml:space="preserve">Returns %</t>
  </si>
  <si>
    <t xml:space="preserve">FBA fee per unit (3% inflation per year)</t>
  </si>
  <si>
    <t xml:space="preserve">Amazon US</t>
  </si>
  <si>
    <t xml:space="preserve">Units</t>
  </si>
  <si>
    <t xml:space="preserve">Channel fees (referral, payment, commission)</t>
  </si>
  <si>
    <t xml:space="preserve">Fulfillment (FBA, MCF, 3PL, shipping)</t>
  </si>
  <si>
    <t xml:space="preserve">Advertising and marketing</t>
  </si>
  <si>
    <t xml:space="preserve">Contribution</t>
  </si>
  <si>
    <t xml:space="preserve">eBay and Walmart overflow</t>
  </si>
  <si>
    <t xml:space="preserve">B2B installer and AV integrator</t>
  </si>
  <si>
    <t xml:space="preserve">DTC site</t>
  </si>
  <si>
    <t xml:space="preserve">Amazon Canada</t>
  </si>
  <si>
    <t xml:space="preserve">Pro line (CL3, plenum, conduit pull, long run fiber KVM)</t>
  </si>
  <si>
    <t xml:space="preserve">Totals</t>
  </si>
  <si>
    <t xml:space="preserve">Channel fees</t>
  </si>
  <si>
    <t xml:space="preserve">Fulfillment</t>
  </si>
  <si>
    <t xml:space="preserve">Contribution, all channels</t>
  </si>
  <si>
    <t xml:space="preserve">Fixed costs (software, insurance, people, tools)</t>
  </si>
  <si>
    <t xml:space="preserve">Years 1 and 2 from the monthly tab; Year 3 adds Mark consulting retainer, VA, tools and insurance</t>
  </si>
  <si>
    <t xml:space="preserve">Compliance (Form 5472, Wyoming report, bond, insurance, trademark maintenance)</t>
  </si>
  <si>
    <t xml:space="preserve">Year 1 compliance is inside the August fixed 850 per month and the 9,500 launch costs</t>
  </si>
  <si>
    <t xml:space="preserve">Net</t>
  </si>
  <si>
    <t xml:space="preserve">Cumulative net, 5 years</t>
  </si>
  <si>
    <t xml:space="preserve">Amazon US contribution margin after advertising (compression check)</t>
  </si>
  <si>
    <t xml:space="preserve">Check rows (must be 0): annual minus monthly tab</t>
  </si>
  <si>
    <t xml:space="preserve">Revenue check, Year 1 and Year 2 (annual minus monthly)</t>
  </si>
  <si>
    <t xml:space="preserve">Net check, Year 1 and Year 2 (annual minus monthly)</t>
  </si>
  <si>
    <t xml:space="preserve">Cash flow engine, active scenario</t>
  </si>
  <si>
    <t xml:space="preserve">Month 25 forecast (planning only)</t>
  </si>
  <si>
    <t xml:space="preserve">Month 26 forecast (planning only)</t>
  </si>
  <si>
    <t xml:space="preserve">Month 27 forecast (planning only)</t>
  </si>
  <si>
    <t xml:space="preserve">Month 28 forecast (planning only)</t>
  </si>
  <si>
    <t xml:space="preserve">Month 29 forecast (planning only)</t>
  </si>
  <si>
    <t xml:space="preserve">Month 30 forecast (planning only)</t>
  </si>
  <si>
    <t xml:space="preserve">Inventory plan (units; one pool at the P&amp;L landed cost)</t>
  </si>
  <si>
    <t xml:space="preserve">Units sold, all channels (Months 25 to 30: Month 24 times 1 plus Year 3 growth)</t>
  </si>
  <si>
    <t xml:space="preserve">Landed cost per unit (landed % times ASP)</t>
  </si>
  <si>
    <t xml:space="preserve">FOB per unit paid to the factory (hero FOB USD at the active FX)</t>
  </si>
  <si>
    <t xml:space="preserve">Freight, duty, broker, inbound and QC per unit (landed minus FOB), paid on arrival</t>
  </si>
  <si>
    <t xml:space="preserve">Target closing stock (cover months times the average of the next three months of sales)</t>
  </si>
  <si>
    <t xml:space="preserve">Opening stock</t>
  </si>
  <si>
    <t xml:space="preserve">Arrivals (purchase order quantity landing this month)</t>
  </si>
  <si>
    <t xml:space="preserve">Closing stock</t>
  </si>
  <si>
    <t xml:space="preserve">Lead time, months (air lead time until the ocean switch month, then the ocean lead time; both on Assumptions)</t>
  </si>
  <si>
    <t xml:space="preserve">Order month for this arrival (deposit paid)</t>
  </si>
  <si>
    <t xml:space="preserve">Shipment month for this arrival (balance paid; goods in transit until arrival)</t>
  </si>
  <si>
    <t xml:space="preserve">FOB value of arrivals</t>
  </si>
  <si>
    <t xml:space="preserve">Freight, duty and fees on arrivals</t>
  </si>
  <si>
    <t xml:space="preserve">Cash flow (direct method)</t>
  </si>
  <si>
    <t xml:space="preserve">PO deposits paid (30% at order)</t>
  </si>
  <si>
    <t xml:space="preserve">PO balances paid (70% at shipment)</t>
  </si>
  <si>
    <t xml:space="preserve">Freight, duty, broker, inbound and QC paid on arrival</t>
  </si>
  <si>
    <t xml:space="preserve">Inventory cash out</t>
  </si>
  <si>
    <t xml:space="preserve">Amazon net proceeds (revenue less referral, FBA, returns, storage, advertising)</t>
  </si>
  <si>
    <t xml:space="preserve">Other channel net proceeds (eBay and Walmart, B2B)</t>
  </si>
  <si>
    <t xml:space="preserve">Receivable at month end (payout lag days / 30 of the month's net proceeds)</t>
  </si>
  <si>
    <t xml:space="preserve">Cash in (proceeds received)</t>
  </si>
  <si>
    <t xml:space="preserve">Fixed costs, seller fee, launch costs, compliance</t>
  </si>
  <si>
    <t xml:space="preserve">Cash out</t>
  </si>
  <si>
    <t xml:space="preserve">Net cash flow</t>
  </si>
  <si>
    <t xml:space="preserve">Cash balance before new funding (opening capital plus cumulative net cash flow)</t>
  </si>
  <si>
    <t xml:space="preserve">Negative balance flag</t>
  </si>
  <si>
    <t xml:space="preserve">Working capital balances</t>
  </si>
  <si>
    <t xml:space="preserve">Inventory on hand at landed cost</t>
  </si>
  <si>
    <t xml:space="preserve">Deposits on open orders plus inventory in transit (funded by the business)</t>
  </si>
  <si>
    <t xml:space="preserve">Net income, all channels (monthly tab)</t>
  </si>
  <si>
    <t xml:space="preserve">Operating cash flow for the gates (net income less the change in receivable; inventory for growth is funded separately)</t>
  </si>
  <si>
    <t xml:space="preserve">Peak cash need, runway and funding gap</t>
  </si>
  <si>
    <t xml:space="preserve">Minimum monthly cash balance before funding, Months 0 to 24</t>
  </si>
  <si>
    <t xml:space="preserve">Month of the monthly minimum</t>
  </si>
  <si>
    <t xml:space="preserve">Minimum cash balance before funding, Months 0 to 24 and the Year 3 to 5 year ends</t>
  </si>
  <si>
    <t xml:space="preserve">Peak cash need month (label)</t>
  </si>
  <si>
    <t xml:space="preserve">Peak cash need month (number; 36, 48 or 60 for a year end)</t>
  </si>
  <si>
    <t xml:space="preserve">Peak cash need (the negative minimum balance, 0 if never negative)</t>
  </si>
  <si>
    <t xml:space="preserve">Funding gap (1.2 times the peak cash need)</t>
  </si>
  <si>
    <t xml:space="preserve">Funding needed by month (the month before the balance first goes negative; none if never)</t>
  </si>
  <si>
    <t xml:space="preserve">Average monthly net cash flow, Months 4 to 6</t>
  </si>
  <si>
    <t xml:space="preserve">Runway at the Day 90 gate before funding, months (cash at end of Month 3 divided by the average burn of Months 4 to 6; funded if no burn)</t>
  </si>
  <si>
    <t xml:space="preserve">Funding drawn (line of credit or investor amount, in the month it is needed)</t>
  </si>
  <si>
    <t xml:space="preserve">Cash balance after funding</t>
  </si>
  <si>
    <t xml:space="preserve">Runway at the Day 90 gate after funding, months (used by the gate)</t>
  </si>
  <si>
    <t xml:space="preserve">Years 3 to 5 (annual): inventory days of landed COGS, receivable days of revenue</t>
  </si>
  <si>
    <t xml:space="preserve">Net income</t>
  </si>
  <si>
    <t xml:space="preserve">Inventory (on hand plus in transit) at year end</t>
  </si>
  <si>
    <t xml:space="preserve">Receivable at year end</t>
  </si>
  <si>
    <t xml:space="preserve">Increase in inventory (Year 3 vs Month 24 on hand plus in transit)</t>
  </si>
  <si>
    <t xml:space="preserve">Increase in receivable</t>
  </si>
  <si>
    <t xml:space="preserve">Cash balance at year end before new funding</t>
  </si>
  <si>
    <t xml:space="preserve">Cash balance at year end after funding</t>
  </si>
  <si>
    <t xml:space="preserve">Funding plan: retained earnings first (the cash balance already includes them), then a line of credit or investor amount equal to the funding gap, in place by the month shown.</t>
  </si>
  <si>
    <t xml:space="preserve">Low case note: the order rule (closing stock = cover months times the next three months of sales) keeps buying through the lost quarter to rebuild cover for the recovery month, so the Low peak need at the end of Year 2 assumes purchases continue during the suppression. An operator would pause orders until the listing is restored; the modeled figure is conservative, not wrong.</t>
  </si>
  <si>
    <t xml:space="preserve">Breakeven and funding plan</t>
  </si>
  <si>
    <t xml:space="preserve">Opening capital (self funded)</t>
  </si>
  <si>
    <t xml:space="preserve">DECISIONS.md: self funded to $39K, the August ask</t>
  </si>
  <si>
    <t xml:space="preserve">Cumulative breakeven month, Amazon US, within 18 months</t>
  </si>
  <si>
    <t xml:space="preserve">none means no breakeven within 18 months</t>
  </si>
  <si>
    <t xml:space="preserve">Cumulative breakeven month, all channels, within 24 months</t>
  </si>
  <si>
    <t xml:space="preserve">Cumulative net at Month 12 (retained earnings available at the Month 12 gate)</t>
  </si>
  <si>
    <t xml:space="preserve">Cumulative net at Month 24, all channels</t>
  </si>
  <si>
    <t xml:space="preserve">Peak cash need (negative minimum balance before funding)</t>
  </si>
  <si>
    <t xml:space="preserve">Peak cash need month</t>
  </si>
  <si>
    <t xml:space="preserve">Funding gap (1.2 times the peak need)</t>
  </si>
  <si>
    <t xml:space="preserve">Funding needed by month</t>
  </si>
  <si>
    <t xml:space="preserve">the month before the balance first goes negative</t>
  </si>
  <si>
    <t xml:space="preserve">Runway at the Day 90 gate before funding, months</t>
  </si>
  <si>
    <t xml:space="preserve">Runway at the Day 90 gate after funding, months</t>
  </si>
  <si>
    <t xml:space="preserve">Funding plan (in order)</t>
  </si>
  <si>
    <t xml:space="preserve">Amount</t>
  </si>
  <si>
    <t xml:space="preserve">When</t>
  </si>
  <si>
    <t xml:space="preserve">Source and terms</t>
  </si>
  <si>
    <t xml:space="preserve">1. Opening capital from Lucy (self funded)</t>
  </si>
  <si>
    <t xml:space="preserve">Month 0, after the Korean overseas direct investment report</t>
  </si>
  <si>
    <t xml:space="preserve">Owner capital contribution to BRAND LLC</t>
  </si>
  <si>
    <t xml:space="preserve">2. Retained earnings (cumulative net to Month 12, already inside the cash balance)</t>
  </si>
  <si>
    <t xml:space="preserve">No distributions until the Month 12 gate passes</t>
  </si>
  <si>
    <t xml:space="preserve">3. Line of credit or investor amount (the funding gap)</t>
  </si>
  <si>
    <t xml:space="preserve">[PLACEHOLDER: lender or investor and terms]. Sized at 1.2 times the peak cash need so one late payout does not break the plan.</t>
  </si>
  <si>
    <t xml:space="preserve">4. Repayment capacity: cash balance after funding at Month 24</t>
  </si>
  <si>
    <t xml:space="preserve">Cash after funding, before any repayment or owner draw</t>
  </si>
  <si>
    <t xml:space="preserve">5. Cash balance after funding at the end of Year 5</t>
  </si>
  <si>
    <t xml:space="preserve">Before repayment, tax and owner draws</t>
  </si>
  <si>
    <t xml:space="preserve">Kill criteria: Day 90 gate and Month 12 gate (active scenario)</t>
  </si>
  <si>
    <t xml:space="preserve">Metric</t>
  </si>
  <si>
    <t xml:space="preserve">Model value</t>
  </si>
  <si>
    <t xml:space="preserve">Pass threshold</t>
  </si>
  <si>
    <t xml:space="preserve">Kill trigger</t>
  </si>
  <si>
    <t xml:space="preserve">Pass?</t>
  </si>
  <si>
    <t xml:space="preserve">Kill?</t>
  </si>
  <si>
    <t xml:space="preserve">Day 90 gate (end of Month 3). Thresholds are read from the Gate thresholds block on Assumptions.</t>
  </si>
  <si>
    <t xml:space="preserve">Unit session conversion on at least 3 of the 5 launch SKUs</t>
  </si>
  <si>
    <t xml:space="preserve">[PLACEHOLDER: observed at Day 90]</t>
  </si>
  <si>
    <t xml:space="preserve">Not modeled; read from Amazon Business Reports at the gate</t>
  </si>
  <si>
    <t xml:space="preserve">TACOS in Month 3 (and falling month over month)</t>
  </si>
  <si>
    <t xml:space="preserve">Model ad spend phases are flat inside a phase; the falling test is observed</t>
  </si>
  <si>
    <t xml:space="preserve">Return rate in Month 3</t>
  </si>
  <si>
    <t xml:space="preserve">Contribution per unit before advertising (hero basis) on at least 3 of 5 SKUs</t>
  </si>
  <si>
    <t xml:space="preserve">Medium hero $12.14 (ASP $42)</t>
  </si>
  <si>
    <t xml:space="preserve">Cash runway after funding the next purchase order, months</t>
  </si>
  <si>
    <t xml:space="preserve">funded means no burn in Months 4 to 6. Runway = cash after the funding draw at the end of Month 3 divided by the average burn of Months 4 to 6, so it depends on the size of the draw (1.2 times the peak need): a more profitable case with a smaller draw can show a shorter runway than a weaker case. Size the line at the larger of the funding gap and four months of burn if the test is marginal.</t>
  </si>
  <si>
    <t xml:space="preserve">No suppressed listing and no IP complaint open more than 14 days</t>
  </si>
  <si>
    <t xml:space="preserve">none open</t>
  </si>
  <si>
    <t xml:space="preserve">Observed from Account Health</t>
  </si>
  <si>
    <t xml:space="preserve">Day 90 result</t>
  </si>
  <si>
    <t xml:space="preserve">KILL if any kill trigger fires; PASS if every modeled pass threshold is met; REVIEW otherwise (fix and retest within 30 days)</t>
  </si>
  <si>
    <t xml:space="preserve">Month 12 gate</t>
  </si>
  <si>
    <t xml:space="preserve">Monthly revenue in Month 12</t>
  </si>
  <si>
    <t xml:space="preserve">Medium Month 12 is $86,100; Low is $46,740</t>
  </si>
  <si>
    <t xml:space="preserve">Cumulative net at Month 12 (Amazon US, August basis)</t>
  </si>
  <si>
    <t xml:space="preserve">TACOS in Month 12</t>
  </si>
  <si>
    <t xml:space="preserve">Return rate in Month 12</t>
  </si>
  <si>
    <t xml:space="preserve">Operating cash flow positive two consecutive months (shown: the lower of Months 11 and 12)</t>
  </si>
  <si>
    <t xml:space="preserve">positive in Months 11 and 12</t>
  </si>
  <si>
    <t xml:space="preserve">Operating cash flow = net income less the change in receivable. It excludes growth inventory, which the line of credit funds. Full net cash flow including inventory is on the cash tab row 32</t>
  </si>
  <si>
    <t xml:space="preserve">Month 12 result</t>
  </si>
  <si>
    <t xml:space="preserve">Kill means: no further capital, sell down inventory, delist losers, move to Plan B</t>
  </si>
  <si>
    <t xml:space="preserve">Plan B summary (if Amazon fails): B2B installer distribution plus continued Korea wholesale. Full P&amp;L on the Plan B tab.</t>
  </si>
  <si>
    <t xml:space="preserve">Plan B revenue</t>
  </si>
  <si>
    <t xml:space="preserve">Plan B net</t>
  </si>
  <si>
    <t xml:space="preserve">Sensitivity (one way): 18 month net and Year 5 net, active scenario</t>
  </si>
  <si>
    <t xml:space="preserve">Base values</t>
  </si>
  <si>
    <t xml:space="preserve">18 month revenue (Amazon US)</t>
  </si>
  <si>
    <t xml:space="preserve">18 month net (Amazon US, August basis)</t>
  </si>
  <si>
    <t xml:space="preserve">18 month percentage based costs (COGS, referral, returns, storage, advertising)</t>
  </si>
  <si>
    <t xml:space="preserve">18 month landed COGS</t>
  </si>
  <si>
    <t xml:space="preserve">Landed COGS % in Months 1 to 18 (active)</t>
  </si>
  <si>
    <t xml:space="preserve">Returns % Year 1 (active)</t>
  </si>
  <si>
    <t xml:space="preserve">Year 5 revenue, all channels</t>
  </si>
  <si>
    <t xml:space="preserve">Year 5 net</t>
  </si>
  <si>
    <t xml:space="preserve">Year 5 percentage based costs (COGS, channel fees, advertising, returns)</t>
  </si>
  <si>
    <t xml:space="preserve">Year 5 landed COGS, all channels</t>
  </si>
  <si>
    <t xml:space="preserve">Landed COGS % in Year 5 (Amazon US)</t>
  </si>
  <si>
    <t xml:space="preserve">Returns % Year 5 (active)</t>
  </si>
  <si>
    <t xml:space="preserve">Hero FOB share of price</t>
  </si>
  <si>
    <t xml:space="preserve">Active duty rate</t>
  </si>
  <si>
    <t xml:space="preserve">FX delta already in the base landed %</t>
  </si>
  <si>
    <t xml:space="preserve">FX embedded in the KRW cost base</t>
  </si>
  <si>
    <t xml:space="preserve">Alibaba benchmark FOB midpoint ($17 to $22) relative to the hero FOB, as a change</t>
  </si>
  <si>
    <t xml:space="preserve">One way sensitivity table</t>
  </si>
  <si>
    <t xml:space="preserve">Setting</t>
  </si>
  <si>
    <t xml:space="preserve">Setting value</t>
  </si>
  <si>
    <t xml:space="preserve">Landed % change (points)</t>
  </si>
  <si>
    <t xml:space="preserve">18 month net vs base</t>
  </si>
  <si>
    <t xml:space="preserve">Year 5 net vs base</t>
  </si>
  <si>
    <t xml:space="preserve">Fiber 12.5%</t>
  </si>
  <si>
    <t xml:space="preserve">Copper 40.1%</t>
  </si>
  <si>
    <t xml:space="preserve">Stress 50.1%</t>
  </si>
  <si>
    <t xml:space="preserve">minus 10%</t>
  </si>
  <si>
    <t xml:space="preserve">base</t>
  </si>
  <si>
    <t xml:space="preserve">plus 10%</t>
  </si>
  <si>
    <t xml:space="preserve">Ad spend</t>
  </si>
  <si>
    <t xml:space="preserve">minus 3 points</t>
  </si>
  <si>
    <t xml:space="preserve">plus 3 points</t>
  </si>
  <si>
    <t xml:space="preserve">Return rate</t>
  </si>
  <si>
    <t xml:space="preserve">2%</t>
  </si>
  <si>
    <t xml:space="preserve">3%</t>
  </si>
  <si>
    <t xml:space="preserve">5%</t>
  </si>
  <si>
    <t xml:space="preserve">FX (KRW per USD)</t>
  </si>
  <si>
    <t xml:space="preserve">1,300</t>
  </si>
  <si>
    <t xml:space="preserve">1,430</t>
  </si>
  <si>
    <t xml:space="preserve">1,550</t>
  </si>
  <si>
    <t xml:space="preserve">Factory cost (FOB)</t>
  </si>
  <si>
    <t xml:space="preserve">plus 25%</t>
  </si>
  <si>
    <t xml:space="preserve">Alibaba benchmark</t>
  </si>
  <si>
    <t xml:space="preserve">Duty, FX and factory cost move landed COGS % through the hero FOB share of price (duty on FOB included for the factory cost rows). ASP moves revenue and every percentage cost; FBA fees and fixed costs stay. The B2B, DTC, Canada and pro line COGS are scaled with the same landed % change (approximation noted). The FX rows follow the spec 2.4 formula literally (FX delta = hero FOB share times (1,430 divided by FX, minus 1), no duty on the FX delta), so a 10% FOB rise from FX moves landed COGS % less than the same rise from factory cost, which carries duty. Simplification recorded in the Decision Log.</t>
  </si>
  <si>
    <t xml:space="preserve">Tornado data (Year 5 net, active scenario; order by swing, largest first)</t>
  </si>
  <si>
    <t xml:space="preserve">Low label</t>
  </si>
  <si>
    <t xml:space="preserve">Low value</t>
  </si>
  <si>
    <t xml:space="preserve">High label</t>
  </si>
  <si>
    <t xml:space="preserve">High value</t>
  </si>
  <si>
    <t xml:space="preserve">Base</t>
  </si>
  <si>
    <t xml:space="preserve">Swing</t>
  </si>
  <si>
    <t xml:space="preserve">Low minus base</t>
  </si>
  <si>
    <t xml:space="preserve">High minus base</t>
  </si>
  <si>
    <t xml:space="preserve">Tornado data (18 month net, active scenario)</t>
  </si>
  <si>
    <t xml:space="preserve">Static row order (largest expected swing first). Values are live; if inputs change the order may no longer be sorted.</t>
  </si>
  <si>
    <t xml:space="preserve">KPI</t>
  </si>
  <si>
    <t xml:space="preserve">Value</t>
  </si>
  <si>
    <t xml:space="preserve">Cumulative breakeven month (18 months)</t>
  </si>
  <si>
    <t xml:space="preserve">Month 18 run rate</t>
  </si>
  <si>
    <t xml:space="preserve">Exit margin (Month 18)</t>
  </si>
  <si>
    <t xml:space="preserve">Year 5 net margin</t>
  </si>
  <si>
    <t xml:space="preserve">Peak cash need</t>
  </si>
  <si>
    <t xml:space="preserve">Funding gap (1.2 times peak need)</t>
  </si>
  <si>
    <t xml:space="preserve">Day 90 gate</t>
  </si>
  <si>
    <t xml:space="preserve">Chart data (links)</t>
  </si>
  <si>
    <t xml:space="preserve">Cash balance before funding</t>
  </si>
  <si>
    <t xml:space="preserve">Minimum marker</t>
  </si>
  <si>
    <t xml:space="preserve">Minimum balance line</t>
  </si>
  <si>
    <t xml:space="preserve">Month 0</t>
  </si>
  <si>
    <t xml:space="preserve">Annual revenue by channel (links)</t>
  </si>
  <si>
    <t xml:space="preserve">eBay and Walmart</t>
  </si>
  <si>
    <t xml:space="preserve">Pro line</t>
  </si>
  <si>
    <t xml:space="preserve">Tornado (Year 5 net vs base)</t>
  </si>
  <si>
    <t xml:space="preserve">Duty waterfall (hero net per unit)</t>
  </si>
  <si>
    <t xml:space="preserve">Bar</t>
  </si>
  <si>
    <t xml:space="preserve">Twelve levers, each mapped to the assumption it moves</t>
  </si>
  <si>
    <t xml:space="preserve">From and To values quote the Medium columns of the model (links where the model holds the number; yellow cells are typed targets). They are pinned to Medium on purpose, so the lever table reads the same whatever the Scenario selector shows (recorded in the Decision Log). Column I quantifies each lever from the Medium engine on the Scenario Summary tab. Owner and evidence per the build spec 2.8.</t>
  </si>
  <si>
    <t xml:space="preserve">#</t>
  </si>
  <si>
    <t xml:space="preserve">Lever</t>
  </si>
  <si>
    <t xml:space="preserve">Assumption it moves</t>
  </si>
  <si>
    <t xml:space="preserve">From (Medium values)</t>
  </si>
  <si>
    <t xml:space="preserve">To (Medium values)</t>
  </si>
  <si>
    <t xml:space="preserve">Owner</t>
  </si>
  <si>
    <t xml:space="preserve">Evidence</t>
  </si>
  <si>
    <t xml:space="preserve">Model cell or driver</t>
  </si>
  <si>
    <t xml:space="preserve">Model effect on net, Medium ($)</t>
  </si>
  <si>
    <t xml:space="preserve">How the effect is computed (approximate; Scenario Summary Medium engine)</t>
  </si>
  <si>
    <t xml:space="preserve">CBP binding ruling: fiber classification 8544.70.00</t>
  </si>
  <si>
    <t xml:space="preserve">Duty rate, landed COGS %</t>
  </si>
  <si>
    <t xml:space="preserve">Broker, Mark</t>
  </si>
  <si>
    <t xml:space="preserve">August deck lever, brief</t>
  </si>
  <si>
    <t xml:space="preserve">Landed Cost &amp; Tariff Scenarios: Medium row, Copper vs Fiber</t>
  </si>
  <si>
    <t xml:space="preserve">18 month net: (copper landed % minus fiber landed %) times Medium 18 month revenue</t>
  </si>
  <si>
    <t xml:space="preserve">Air to ocean freight after the Day 90 gate</t>
  </si>
  <si>
    <t xml:space="preserve">Freight per unit, landed COGS %</t>
  </si>
  <si>
    <t xml:space="preserve">Lucy, 3PL</t>
  </si>
  <si>
    <t xml:space="preserve">August deck lever</t>
  </si>
  <si>
    <t xml:space="preserve">SKU Unit Economics constants: air and ocean per kg; Assumptions: landed COGS change Year 2</t>
  </si>
  <si>
    <t xml:space="preserve">18 month net, upper bound: (air minus ocean freight per hero unit) times 18 month units; the model phases the switch in from the ocean start month through the Year 2 landed change</t>
  </si>
  <si>
    <t xml:space="preserve">Direction proof connector design</t>
  </si>
  <si>
    <t xml:space="preserve">Lucy, factory</t>
  </si>
  <si>
    <t xml:space="preserve">Assumptions: returns % Year 1 and Year 2 onward (Medium)</t>
  </si>
  <si>
    <t xml:space="preserve">18 month net: the returns point saved times 18 month revenue</t>
  </si>
  <si>
    <t xml:space="preserve">Keyword pruning and negative keywords</t>
  </si>
  <si>
    <t xml:space="preserve">Ad spend %</t>
  </si>
  <si>
    <t xml:space="preserve">phase rate</t>
  </si>
  <si>
    <t xml:space="preserve">minus 2 points</t>
  </si>
  <si>
    <t xml:space="preserve">Mark, VA</t>
  </si>
  <si>
    <t xml:space="preserve">Assumptions: ad spend % by phase; Sensitivity: ad spend minus 3 points</t>
  </si>
  <si>
    <t xml:space="preserve">18 month net: 2 points of ad spend times 18 month revenue</t>
  </si>
  <si>
    <t xml:space="preserve">Review velocity (Vine, insert card, Brand Registry follow up)</t>
  </si>
  <si>
    <t xml:space="preserve">Conversion, unit ramp</t>
  </si>
  <si>
    <t xml:space="preserve">base ramp</t>
  </si>
  <si>
    <t xml:space="preserve">plus 10% units</t>
  </si>
  <si>
    <t xml:space="preserve">Mark</t>
  </si>
  <si>
    <t xml:space="preserve">Assumptions: unit ramp multiplier</t>
  </si>
  <si>
    <t xml:space="preserve">18 month net: 10% more units at the same contribution per unit after advertising; fixed costs unchanged</t>
  </si>
  <si>
    <t xml:space="preserve">Length variations under one parent ASIN</t>
  </si>
  <si>
    <t xml:space="preserve">Conversion, review pooling, ad efficiency</t>
  </si>
  <si>
    <t xml:space="preserve">separate ASINs</t>
  </si>
  <si>
    <t xml:space="preserve">one parent</t>
  </si>
  <si>
    <t xml:space="preserve">Not a numeric driver; supports levers 4 and 5</t>
  </si>
  <si>
    <t xml:space="preserve">not numeric</t>
  </si>
  <si>
    <t xml:space="preserve">Supports levers 4 and 5 (shared reviews and ad budget across the lengths)</t>
  </si>
  <si>
    <t xml:space="preserve">Factory volume pricing tiers</t>
  </si>
  <si>
    <t xml:space="preserve">FOB cost</t>
  </si>
  <si>
    <t xml:space="preserve">H2 base</t>
  </si>
  <si>
    <t xml:space="preserve">minus 5% at 5,000 units per quarter</t>
  </si>
  <si>
    <t xml:space="preserve">Lucy</t>
  </si>
  <si>
    <t xml:space="preserve">SKU Unit Economics: H2 cost KRW; Sensitivity: factory cost minus 10%</t>
  </si>
  <si>
    <t xml:space="preserve">18 month net: FOB minus 5% with the duty on that FOB saved too, through the hero FOB share of price</t>
  </si>
  <si>
    <t xml:space="preserve">Packaging to a smaller FBA size tier</t>
  </si>
  <si>
    <t xml:space="preserve">FBA fee per unit</t>
  </si>
  <si>
    <t xml:space="preserve">Assumptions: FBA fee per unit (hero basis); SKU tab FBA fee column</t>
  </si>
  <si>
    <t xml:space="preserve">18 month net, upper bound: the FBA fee saving per unit times 18 month units (applies to the 7M and 10M lengths only)</t>
  </si>
  <si>
    <t xml:space="preserve">3PL feeding FBA, avoid aged inventory surcharges</t>
  </si>
  <si>
    <t xml:space="preserve">Storage and inbound %</t>
  </si>
  <si>
    <t xml:space="preserve">3PL, Lucy</t>
  </si>
  <si>
    <t xml:space="preserve">Assumptions: storage and inbound %</t>
  </si>
  <si>
    <t xml:space="preserve">18 month net: half a point of storage and inbound times 18 month revenue</t>
  </si>
  <si>
    <t xml:space="preserve">Price ladder and coupons (list vs sale price)</t>
  </si>
  <si>
    <t xml:space="preserve">plus or minus 5% test</t>
  </si>
  <si>
    <t xml:space="preserve">Assumptions: ASP Years 1 and 2; Sensitivity: ASP plus or minus 10%</t>
  </si>
  <si>
    <t xml:space="preserve">18 month net: plus 5% ASP with every percentage cost scaling with revenue (minus 5% costs the same amount)</t>
  </si>
  <si>
    <t xml:space="preserve">Off Amazon email list (Spec Match finder, trade up registration)</t>
  </si>
  <si>
    <t xml:space="preserve">DTC revenue, ad %</t>
  </si>
  <si>
    <t xml:space="preserve">Assumptions: DTC site revenue Year 3 (channel from Year 3)</t>
  </si>
  <si>
    <t xml:space="preserve">Year 3 contribution of the DTC channel (Medium)</t>
  </si>
  <si>
    <t xml:space="preserve">B2B installer program (AV integrators, custom installers)</t>
  </si>
  <si>
    <t xml:space="preserve">B2B channel revenue</t>
  </si>
  <si>
    <t xml:space="preserve">Mark, Lucy</t>
  </si>
  <si>
    <t xml:space="preserve">Assumptions: B2B revenue Year 2</t>
  </si>
  <si>
    <t xml:space="preserve">Year 2 contribution of the B2B channel (Medium)</t>
  </si>
  <si>
    <t xml:space="preserve">Scenario Summary: Low, Medium and High side by side</t>
  </si>
  <si>
    <t xml:space="preserve">Computed live by three parallel copies of the monthly, annual, cash and gate engines (rows 45 onward), each wired to its own Assumptions column, so the table does not depend on the Scenario selector. Duty scenario and FX follow the selectors.</t>
  </si>
  <si>
    <t xml:space="preserve">The active scenario column on the main tabs must equal the matching column here (the build script checks this after recalculation).</t>
  </si>
  <si>
    <t xml:space="preserve">Cumulative breakeven month (18 months; none if never)</t>
  </si>
  <si>
    <t xml:space="preserve">Year 1 revenue</t>
  </si>
  <si>
    <t xml:space="preserve">Year 1 net</t>
  </si>
  <si>
    <t xml:space="preserve">Year 2 revenue</t>
  </si>
  <si>
    <t xml:space="preserve">Year 2 net</t>
  </si>
  <si>
    <t xml:space="preserve">Year 3 revenue</t>
  </si>
  <si>
    <t xml:space="preserve">Year 3 net</t>
  </si>
  <si>
    <t xml:space="preserve">Year 4 revenue</t>
  </si>
  <si>
    <t xml:space="preserve">Year 4 net</t>
  </si>
  <si>
    <t xml:space="preserve">Year 5 revenue</t>
  </si>
  <si>
    <t xml:space="preserve">Year 5 Amazon US revenue</t>
  </si>
  <si>
    <t xml:space="preserve">Minimum cash balance before funding</t>
  </si>
  <si>
    <t xml:space="preserve">Runway at Day 90 after funding, months</t>
  </si>
  <si>
    <t xml:space="preserve">Day 90 gate result</t>
  </si>
  <si>
    <t xml:space="preserve">Month 12 gate result</t>
  </si>
  <si>
    <t xml:space="preserve">Low scenario: monthly P&amp;L engine (Assumptions column C)</t>
  </si>
  <si>
    <t xml:space="preserve">Low scenario: annual P&amp;L engine</t>
  </si>
  <si>
    <t xml:space="preserve">Low scenario: cash flow engine</t>
  </si>
  <si>
    <t xml:space="preserve">Low scenario: gates</t>
  </si>
  <si>
    <t xml:space="preserve">Operating cash flow = net income less the change in receivable. It excludes growth inventory, which the line of credit funds. Full net cash flow including inventory is on the cash tab row 228</t>
  </si>
  <si>
    <t xml:space="preserve">Medium scenario: monthly P&amp;L engine (Assumptions column D)</t>
  </si>
  <si>
    <t xml:space="preserve">Medium scenario: annual P&amp;L engine</t>
  </si>
  <si>
    <t xml:space="preserve">Medium scenario: cash flow engine</t>
  </si>
  <si>
    <t xml:space="preserve">Medium scenario: gates</t>
  </si>
  <si>
    <t xml:space="preserve">Operating cash flow = net income less the change in receivable. It excludes growth inventory, which the line of credit funds. Full net cash flow including inventory is on the cash tab row 470</t>
  </si>
  <si>
    <t xml:space="preserve">High scenario: monthly P&amp;L engine (Assumptions column E)</t>
  </si>
  <si>
    <t xml:space="preserve">High scenario: annual P&amp;L engine</t>
  </si>
  <si>
    <t xml:space="preserve">High scenario: cash flow engine</t>
  </si>
  <si>
    <t xml:space="preserve">High scenario: gates</t>
  </si>
  <si>
    <t xml:space="preserve">Operating cash flow = net income less the change in receivable. It excludes growth inventory, which the line of credit funds. Full net cash flow including inventory is on the cash tab row 712</t>
  </si>
  <si>
    <t xml:space="preserve">Plan B: B2B installer distribution in the US plus continued Korea wholesale (if Amazon fails)</t>
  </si>
  <si>
    <t xml:space="preserve">A side business, shown honestly. B2B at the B2B economics (price 60% of retail, 3PL only, no Amazon fees). Korea wholesale at the August deal pace. Reads the Medium column of Assumptions (not the Active column) because Plan B is a fixed side case per spec 2.7; the landed % follows the duty and FX selectors.</t>
  </si>
  <si>
    <t xml:space="preserve">B2B installer revenue</t>
  </si>
  <si>
    <t xml:space="preserve">Management estimate (spec 2.7)</t>
  </si>
  <si>
    <t xml:space="preserve">Retail ASP reference (Medium)</t>
  </si>
  <si>
    <t xml:space="preserve">Landed COGS % (Medium, active duty and FX)</t>
  </si>
  <si>
    <t xml:space="preserve">B2B units (price 60% of retail)</t>
  </si>
  <si>
    <t xml:space="preserve">3PL pick pack ship</t>
  </si>
  <si>
    <t xml:space="preserve">Sales commission</t>
  </si>
  <si>
    <t xml:space="preserve">Marketing</t>
  </si>
  <si>
    <t xml:space="preserve">Korea wholesale deals per year (August deal pace)</t>
  </si>
  <si>
    <t xml:space="preserve">deals</t>
  </si>
  <si>
    <t xml:space="preserve">Units per deal</t>
  </si>
  <si>
    <t xml:space="preserve">August deal units (FX tab input)</t>
  </si>
  <si>
    <t xml:space="preserve">Gross profit per unit, Year 1 (August deal: about $2.50 per unit)</t>
  </si>
  <si>
    <t xml:space="preserve">Gross profit per unit growth per year</t>
  </si>
  <si>
    <t xml:space="preserve">Gross profit per unit (Year 1 input, then growing by the rate above)</t>
  </si>
  <si>
    <t xml:space="preserve">August deal revenue per unit in USD (FX tab deal revenue divided by the units per deal)</t>
  </si>
  <si>
    <t xml:space="preserve">August deal revenue (FX tab input) on the units per deal, at FXRate</t>
  </si>
  <si>
    <t xml:space="preserve">Korea wholesale revenue (deals times units times the August deal revenue per unit)</t>
  </si>
  <si>
    <t xml:space="preserve">Korea wholesale gross profit</t>
  </si>
  <si>
    <t xml:space="preserve">Fixed costs (software, insurance, 3PL account) per month</t>
  </si>
  <si>
    <t xml:space="preserve">Management estimate: 850 per month Year 1, 1,200 after</t>
  </si>
  <si>
    <t xml:space="preserve">Fixed costs per year</t>
  </si>
  <si>
    <t xml:space="preserve">Compliance (Form 5472, Wyoming report, bond, insurance) from Year 2</t>
  </si>
  <si>
    <t xml:space="preserve">Plan B revenue (B2B plus Korea wholesale)</t>
  </si>
  <si>
    <t xml:space="preserve">Plan B net (B2B contribution plus Korea gross profit less fixed and compliance)</t>
  </si>
  <si>
    <t xml:space="preserve">Plan B net margin</t>
  </si>
  <si>
    <t xml:space="preserve">Cumulative Plan B net</t>
  </si>
  <si>
    <t xml:space="preserve">Plan B keeps the LLC, the bond and the insurance. It does not need Amazon fees, advertising at Amazon rates or the inventory cover of the Amazon plan.</t>
  </si>
</sst>
</file>

<file path=xl/styles.xml><?xml version="1.0" encoding="utf-8"?>
<styleSheet xmlns="http://schemas.openxmlformats.org/spreadsheetml/2006/main">
  <numFmts count="14">
    <numFmt numFmtId="164" formatCode="General"/>
    <numFmt numFmtId="165" formatCode="0"/>
    <numFmt numFmtId="166" formatCode="#,##0"/>
    <numFmt numFmtId="167" formatCode="\$#,##0.00;&quot;($&quot;#,##0.00\);0"/>
    <numFmt numFmtId="168" formatCode="0.0%;\(0.0%\);0.0%"/>
    <numFmt numFmtId="169" formatCode="#,##0.00;\(#,##0.00\);0"/>
    <numFmt numFmtId="170" formatCode="#,##0;\(#,##0\);0"/>
    <numFmt numFmtId="171" formatCode="#,##0.0;\(#,##0.0\);0"/>
    <numFmt numFmtId="172" formatCode="\$#,##0;&quot;($&quot;#,##0\);0"/>
    <numFmt numFmtId="173" formatCode="&quot;KRW &quot;#,##0;&quot;(KRW &quot;#,##0\);0"/>
    <numFmt numFmtId="174" formatCode="0.00%;\(0.00%\);0.00%"/>
    <numFmt numFmtId="175" formatCode="0.000"/>
    <numFmt numFmtId="176" formatCode="0.0000"/>
    <numFmt numFmtId="177"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sz val="10"/>
      <color rgb="FF000000"/>
      <name val="Arial"/>
      <family val="0"/>
      <charset val="1"/>
    </font>
    <font>
      <i val="true"/>
      <sz val="10"/>
      <color rgb="FF666666"/>
      <name val="Arial"/>
      <family val="0"/>
      <charset val="1"/>
    </font>
    <font>
      <b val="true"/>
      <sz val="10"/>
      <color rgb="FF000000"/>
      <name val="Arial"/>
      <family val="0"/>
      <charset val="1"/>
    </font>
    <font>
      <sz val="10"/>
      <color rgb="FF0000FF"/>
      <name val="Arial"/>
      <family val="0"/>
      <charset val="1"/>
    </font>
    <font>
      <sz val="10"/>
      <color rgb="FF008000"/>
      <name val="Arial"/>
      <family val="0"/>
      <charset val="1"/>
    </font>
    <font>
      <i val="true"/>
      <sz val="10"/>
      <color rgb="FFC00000"/>
      <name val="Arial"/>
      <family val="0"/>
      <charset val="1"/>
    </font>
    <font>
      <b val="true"/>
      <sz val="14"/>
      <color rgb="FF000000"/>
      <name val="Arial"/>
      <family val="0"/>
      <charset val="1"/>
    </font>
    <font>
      <b val="true"/>
      <sz val="10"/>
      <color rgb="FF0000FF"/>
      <name val="Arial"/>
      <family val="0"/>
      <charset val="1"/>
    </font>
    <font>
      <b val="true"/>
      <sz val="10"/>
      <color rgb="FF008000"/>
      <name val="Arial"/>
      <family val="0"/>
      <charset val="1"/>
    </font>
    <font>
      <b val="true"/>
      <sz val="12"/>
      <color rgb="FF000000"/>
      <name val="Arial"/>
      <family val="2"/>
    </font>
    <font>
      <sz val="9"/>
      <color rgb="FF000000"/>
      <name val="Arial"/>
      <family val="2"/>
    </font>
    <font>
      <b val="true"/>
      <sz val="10"/>
      <color rgb="FF000000"/>
      <name val="Calibri"/>
      <family val="2"/>
    </font>
  </fonts>
  <fills count="7">
    <fill>
      <patternFill patternType="none"/>
    </fill>
    <fill>
      <patternFill patternType="gray125"/>
    </fill>
    <fill>
      <patternFill patternType="solid">
        <fgColor rgb="FFEDEDED"/>
        <bgColor rgb="FFE2EFDA"/>
      </patternFill>
    </fill>
    <fill>
      <patternFill patternType="solid">
        <fgColor rgb="FFFFFF00"/>
        <bgColor rgb="FFFFFF00"/>
      </patternFill>
    </fill>
    <fill>
      <patternFill patternType="solid">
        <fgColor rgb="FFE2EFDA"/>
        <bgColor rgb="FFEDEDED"/>
      </patternFill>
    </fill>
    <fill>
      <patternFill patternType="solid">
        <fgColor rgb="FFD9E1F2"/>
        <bgColor rgb="FFD9D9D9"/>
      </patternFill>
    </fill>
    <fill>
      <patternFill patternType="solid">
        <fgColor rgb="FFFFF2CC"/>
        <bgColor rgb="FFEDEDED"/>
      </patternFill>
    </fill>
  </fills>
  <borders count="2">
    <border diagonalUp="false" diagonalDown="false">
      <left/>
      <right/>
      <top/>
      <bottom/>
      <diagonal/>
    </border>
    <border diagonalUp="false" diagonalDown="false">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5" fontId="8" fillId="3" borderId="0" xfId="0" applyFont="true" applyBorder="false" applyAlignment="true" applyProtection="true">
      <alignment horizontal="general" vertical="bottom" textRotation="0" wrapText="false" indent="0" shrinkToFit="false"/>
      <protection locked="true" hidden="false"/>
    </xf>
    <xf numFmtId="166" fontId="8" fillId="3"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7" fontId="8" fillId="3"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8" fillId="3"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9" fontId="8" fillId="3"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70" fontId="8" fillId="3"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71" fontId="8" fillId="3"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72" fontId="8" fillId="3"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73" fontId="8" fillId="3"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74" fontId="9" fillId="0" borderId="0" xfId="0" applyFont="true" applyBorder="false" applyAlignment="true" applyProtection="true">
      <alignment horizontal="general" vertical="bottom" textRotation="0" wrapText="false" indent="0" shrinkToFit="false"/>
      <protection locked="true" hidden="false"/>
    </xf>
    <xf numFmtId="173" fontId="9" fillId="0" borderId="0" xfId="0" applyFont="true" applyBorder="false" applyAlignment="true" applyProtection="true">
      <alignment horizontal="general" vertical="bottom" textRotation="0" wrapText="false" indent="0" shrinkToFit="false"/>
      <protection locked="true" hidden="false"/>
    </xf>
    <xf numFmtId="172" fontId="5" fillId="0"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top" textRotation="0" wrapText="tru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75" fontId="5" fillId="0" borderId="0" xfId="0" applyFont="true" applyBorder="false" applyAlignment="true" applyProtection="true">
      <alignment horizontal="general" vertical="bottom" textRotation="0" wrapText="false" indent="0" shrinkToFit="false"/>
      <protection locked="true" hidden="false"/>
    </xf>
    <xf numFmtId="164" fontId="7" fillId="6" borderId="1" xfId="0" applyFont="true" applyBorder="true" applyAlignment="true" applyProtection="true">
      <alignment horizontal="general" vertical="bottom" textRotation="0" wrapText="false" indent="0" shrinkToFit="false"/>
      <protection locked="true" hidden="false"/>
    </xf>
    <xf numFmtId="165" fontId="12" fillId="3" borderId="1" xfId="0" applyFont="true" applyBorder="true" applyAlignment="true" applyProtection="true">
      <alignment horizontal="general" vertical="bottom" textRotation="0" wrapText="false" indent="0" shrinkToFit="false"/>
      <protection locked="true" hidden="false"/>
    </xf>
    <xf numFmtId="173" fontId="12" fillId="3" borderId="1" xfId="0" applyFont="true" applyBorder="true" applyAlignment="true" applyProtection="true">
      <alignment horizontal="general" vertical="bottom" textRotation="0" wrapText="false" indent="0" shrinkToFit="false"/>
      <protection locked="true" hidden="false"/>
    </xf>
    <xf numFmtId="167" fontId="7" fillId="6" borderId="1" xfId="0" applyFont="true" applyBorder="true" applyAlignment="true" applyProtection="true">
      <alignment horizontal="general" vertical="bottom" textRotation="0" wrapText="false" indent="0" shrinkToFit="false"/>
      <protection locked="true" hidden="false"/>
    </xf>
    <xf numFmtId="167" fontId="12" fillId="3" borderId="1" xfId="0" applyFont="true" applyBorder="true" applyAlignment="true" applyProtection="true">
      <alignment horizontal="general" vertical="bottom" textRotation="0" wrapText="false" indent="0" shrinkToFit="false"/>
      <protection locked="true" hidden="false"/>
    </xf>
    <xf numFmtId="169" fontId="12" fillId="3" borderId="1" xfId="0" applyFont="true" applyBorder="true" applyAlignment="true" applyProtection="true">
      <alignment horizontal="general" vertical="bottom" textRotation="0" wrapText="false" indent="0" shrinkToFit="false"/>
      <protection locked="true" hidden="false"/>
    </xf>
    <xf numFmtId="175" fontId="7" fillId="6" borderId="1" xfId="0" applyFont="true" applyBorder="true" applyAlignment="true" applyProtection="true">
      <alignment horizontal="general" vertical="bottom" textRotation="0" wrapText="false" indent="0" shrinkToFit="false"/>
      <protection locked="true" hidden="false"/>
    </xf>
    <xf numFmtId="167" fontId="13" fillId="6" borderId="1" xfId="0" applyFont="true" applyBorder="true" applyAlignment="true" applyProtection="true">
      <alignment horizontal="general" vertical="bottom" textRotation="0" wrapText="false" indent="0" shrinkToFit="false"/>
      <protection locked="true" hidden="false"/>
    </xf>
    <xf numFmtId="168" fontId="7" fillId="6" borderId="1" xfId="0" applyFont="true" applyBorder="tru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general" vertical="bottom" textRotation="0" wrapText="false" indent="0" shrinkToFit="false"/>
      <protection locked="true" hidden="false"/>
    </xf>
    <xf numFmtId="176" fontId="8" fillId="3" borderId="0" xfId="0" applyFont="true" applyBorder="false" applyAlignment="true" applyProtection="true">
      <alignment horizontal="general" vertical="bottom" textRotation="0" wrapText="false" indent="0" shrinkToFit="false"/>
      <protection locked="true" hidden="false"/>
    </xf>
    <xf numFmtId="174" fontId="8" fillId="3"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7" fontId="7" fillId="4" borderId="0" xfId="0" applyFont="true" applyBorder="false" applyAlignment="true" applyProtection="true">
      <alignment horizontal="general" vertical="bottom" textRotation="0" wrapText="false" indent="0" shrinkToFit="false"/>
      <protection locked="true" hidden="false"/>
    </xf>
    <xf numFmtId="168" fontId="7" fillId="4" borderId="0" xfId="0" applyFont="true" applyBorder="false" applyAlignment="true" applyProtection="true">
      <alignment horizontal="general" vertical="bottom" textRotation="0" wrapText="false" indent="0" shrinkToFit="false"/>
      <protection locked="true" hidden="false"/>
    </xf>
    <xf numFmtId="174" fontId="13" fillId="0" borderId="0" xfId="0" applyFont="true" applyBorder="false" applyAlignment="true" applyProtection="true">
      <alignment horizontal="general" vertical="bottom" textRotation="0" wrapText="false" indent="0" shrinkToFit="false"/>
      <protection locked="true" hidden="false"/>
    </xf>
    <xf numFmtId="174" fontId="5" fillId="0" borderId="0" xfId="0" applyFont="true" applyBorder="false" applyAlignment="true" applyProtection="true">
      <alignment horizontal="general" vertical="bottom" textRotation="0" wrapText="false" indent="0" shrinkToFit="false"/>
      <protection locked="true" hidden="false"/>
    </xf>
    <xf numFmtId="170" fontId="13" fillId="0" borderId="0" xfId="0" applyFont="true" applyBorder="false" applyAlignment="true" applyProtection="true">
      <alignment horizontal="general" vertical="bottom" textRotation="0" wrapText="false" indent="0" shrinkToFit="false"/>
      <protection locked="true" hidden="false"/>
    </xf>
    <xf numFmtId="172" fontId="9" fillId="0" borderId="0" xfId="0" applyFont="true" applyBorder="false" applyAlignment="true" applyProtection="true">
      <alignment horizontal="general" vertical="bottom" textRotation="0" wrapText="false" indent="0" shrinkToFit="false"/>
      <protection locked="true" hidden="false"/>
    </xf>
    <xf numFmtId="172" fontId="13" fillId="0" borderId="0" xfId="0" applyFont="true" applyBorder="false" applyAlignment="true" applyProtection="true">
      <alignment horizontal="general" vertical="bottom" textRotation="0" wrapText="false" indent="0" shrinkToFit="false"/>
      <protection locked="true" hidden="false"/>
    </xf>
    <xf numFmtId="170" fontId="9" fillId="0" borderId="0" xfId="0" applyFont="true" applyBorder="false" applyAlignment="true" applyProtection="true">
      <alignment horizontal="general" vertical="bottom" textRotation="0" wrapText="false" indent="0" shrinkToFit="false"/>
      <protection locked="true" hidden="false"/>
    </xf>
    <xf numFmtId="172" fontId="7" fillId="4" borderId="0" xfId="0" applyFont="true" applyBorder="false" applyAlignment="true" applyProtection="true">
      <alignment horizontal="general" vertical="bottom" textRotation="0" wrapText="false" indent="0" shrinkToFit="false"/>
      <protection locked="true" hidden="false"/>
    </xf>
    <xf numFmtId="165" fontId="7" fillId="4" borderId="0" xfId="0" applyFont="true" applyBorder="false" applyAlignment="true" applyProtection="true">
      <alignment horizontal="general" vertical="bottom" textRotation="0" wrapText="false" indent="0" shrinkToFit="false"/>
      <protection locked="true" hidden="false"/>
    </xf>
    <xf numFmtId="170" fontId="7" fillId="4"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72" fontId="13" fillId="4" borderId="0" xfId="0" applyFont="true" applyBorder="false" applyAlignment="true" applyProtection="true">
      <alignment horizontal="general" vertical="bottom" textRotation="0" wrapText="false" indent="0" shrinkToFit="false"/>
      <protection locked="true" hidden="false"/>
    </xf>
    <xf numFmtId="171" fontId="7" fillId="4" borderId="0" xfId="0" applyFont="true" applyBorder="false" applyAlignment="true" applyProtection="true">
      <alignment horizontal="general" vertical="bottom" textRotation="0" wrapText="false" indent="0" shrinkToFit="false"/>
      <protection locked="true" hidden="false"/>
    </xf>
    <xf numFmtId="165" fontId="13" fillId="4" borderId="0" xfId="0" applyFont="true" applyBorder="false" applyAlignment="true" applyProtection="true">
      <alignment horizontal="general" vertical="bottom"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71" fontId="13" fillId="4" borderId="0" xfId="0" applyFont="true" applyBorder="false" applyAlignment="true" applyProtection="true">
      <alignment horizontal="general" vertical="bottom" textRotation="0" wrapText="false" indent="0" shrinkToFit="false"/>
      <protection locked="true" hidden="false"/>
    </xf>
    <xf numFmtId="177" fontId="9" fillId="0" borderId="0" xfId="0" applyFont="true" applyBorder="false" applyAlignment="true" applyProtection="true">
      <alignment horizontal="general" vertical="bottom" textRotation="0" wrapText="false" indent="0" shrinkToFit="false"/>
      <protection locked="true" hidden="false"/>
    </xf>
    <xf numFmtId="171" fontId="9" fillId="0" borderId="0" xfId="0" applyFont="true" applyBorder="false" applyAlignment="true" applyProtection="true">
      <alignment horizontal="general" vertical="bottom" textRotation="0" wrapText="false" indent="0" shrinkToFit="false"/>
      <protection locked="true" hidden="false"/>
    </xf>
    <xf numFmtId="177" fontId="5"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68" fontId="13" fillId="4" borderId="0" xfId="0" applyFont="true" applyBorder="false" applyAlignment="true" applyProtection="true">
      <alignment horizontal="general"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72" fontId="12"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8B5CF6"/>
      <rgbColor rgb="FF993366"/>
      <rgbColor rgb="FFFFF2CC"/>
      <rgbColor rgb="FFD9E1F2"/>
      <rgbColor rgb="FF660066"/>
      <rgbColor rgb="FFFF4FD8"/>
      <rgbColor rgb="FF0066CC"/>
      <rgbColor rgb="FFD9D9D9"/>
      <rgbColor rgb="FF000080"/>
      <rgbColor rgb="FFFF00FF"/>
      <rgbColor rgb="FFFFFF00"/>
      <rgbColor rgb="FF00FFFF"/>
      <rgbColor rgb="FF800080"/>
      <rgbColor rgb="FF800000"/>
      <rgbColor rgb="FF008080"/>
      <rgbColor rgb="FF0000FF"/>
      <rgbColor rgb="FF2DE2FF"/>
      <rgbColor rgb="FFCCFFFF"/>
      <rgbColor rgb="FFE2EFDA"/>
      <rgbColor rgb="FFFFFF99"/>
      <rgbColor rgb="FF99CCFF"/>
      <rgbColor rgb="FFFF99CC"/>
      <rgbColor rgb="FFCC99FF"/>
      <rgbColor rgb="FFFFCC99"/>
      <rgbColor rgb="FF3366FF"/>
      <rgbColor rgb="FF3DDC97"/>
      <rgbColor rgb="FF99CC00"/>
      <rgbColor rgb="FFFFB547"/>
      <rgbColor rgb="FFFF9900"/>
      <rgbColor rgb="FFFF6600"/>
      <rgbColor rgb="FF666666"/>
      <rgbColor rgb="FF9AA5C4"/>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Arial"/>
              </a:defRPr>
            </a:pPr>
            <a:r>
              <a:rPr b="1" sz="1200" spc="-1" strike="noStrike">
                <a:solidFill>
                  <a:srgbClr val="000000"/>
                </a:solidFill>
                <a:latin typeface="Arial"/>
              </a:rPr>
              <a:t>Revenue and net by month, all channels (Months 1 to 24)</a:t>
            </a:r>
          </a:p>
        </c:rich>
      </c:tx>
      <c:overlay val="0"/>
      <c:spPr>
        <a:noFill/>
        <a:ln w="0">
          <a:noFill/>
        </a:ln>
      </c:spPr>
    </c:title>
    <c:autoTitleDeleted val="0"/>
    <c:plotArea>
      <c:lineChart>
        <c:grouping val="standard"/>
        <c:varyColors val="0"/>
        <c:ser>
          <c:idx val="0"/>
          <c:order val="0"/>
          <c:tx>
            <c:strRef>
              <c:f>"Revenue"</c:f>
              <c:strCache>
                <c:ptCount val="1"/>
                <c:pt idx="0">
                  <c:v>Revenue</c:v>
                </c:pt>
              </c:strCache>
            </c:strRef>
          </c:tx>
          <c:spPr>
            <a:solidFill>
              <a:srgbClr val="2de2ff"/>
            </a:solidFill>
            <a:ln w="19080">
              <a:solidFill>
                <a:srgbClr val="2de2ff"/>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Dashboard'!$A$24:$A$47</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'KPI Dashboard'!$B$24:$B$47</c:f>
              <c:numCache>
                <c:formatCode>\$#,##0;"($"#,##0\);0</c:formatCode>
                <c:ptCount val="24"/>
                <c:pt idx="0">
                  <c:v>6300</c:v>
                </c:pt>
                <c:pt idx="1">
                  <c:v>10080</c:v>
                </c:pt>
                <c:pt idx="2">
                  <c:v>15120</c:v>
                </c:pt>
                <c:pt idx="3">
                  <c:v>21000</c:v>
                </c:pt>
                <c:pt idx="4">
                  <c:v>27300</c:v>
                </c:pt>
                <c:pt idx="5">
                  <c:v>34440</c:v>
                </c:pt>
                <c:pt idx="6">
                  <c:v>42000</c:v>
                </c:pt>
                <c:pt idx="7">
                  <c:v>50400</c:v>
                </c:pt>
                <c:pt idx="8">
                  <c:v>58800</c:v>
                </c:pt>
                <c:pt idx="9">
                  <c:v>67200</c:v>
                </c:pt>
                <c:pt idx="10">
                  <c:v>75600</c:v>
                </c:pt>
                <c:pt idx="11">
                  <c:v>86100</c:v>
                </c:pt>
                <c:pt idx="12">
                  <c:v>112060</c:v>
                </c:pt>
                <c:pt idx="13">
                  <c:v>121132</c:v>
                </c:pt>
                <c:pt idx="14">
                  <c:v>127936</c:v>
                </c:pt>
                <c:pt idx="15">
                  <c:v>134740</c:v>
                </c:pt>
                <c:pt idx="16">
                  <c:v>141544</c:v>
                </c:pt>
                <c:pt idx="17">
                  <c:v>148348</c:v>
                </c:pt>
                <c:pt idx="18">
                  <c:v>152884</c:v>
                </c:pt>
                <c:pt idx="19">
                  <c:v>157420</c:v>
                </c:pt>
                <c:pt idx="20">
                  <c:v>161956</c:v>
                </c:pt>
                <c:pt idx="21">
                  <c:v>166492</c:v>
                </c:pt>
                <c:pt idx="22">
                  <c:v>171028</c:v>
                </c:pt>
                <c:pt idx="23">
                  <c:v>175564</c:v>
                </c:pt>
              </c:numCache>
            </c:numRef>
          </c:val>
          <c:smooth val="1"/>
        </c:ser>
        <c:ser>
          <c:idx val="1"/>
          <c:order val="1"/>
          <c:tx>
            <c:strRef>
              <c:f>"Net"</c:f>
              <c:strCache>
                <c:ptCount val="1"/>
                <c:pt idx="0">
                  <c:v>Net</c:v>
                </c:pt>
              </c:strCache>
            </c:strRef>
          </c:tx>
          <c:spPr>
            <a:solidFill>
              <a:srgbClr val="8b5cf6"/>
            </a:solidFill>
            <a:ln w="19080">
              <a:solidFill>
                <a:srgbClr val="8b5cf6"/>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Dashboard'!$A$24:$A$47</c:f>
              <c:strCache>
                <c:ptCount val="24"/>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strCache>
            </c:strRef>
          </c:cat>
          <c:val>
            <c:numRef>
              <c:f>'KPI Dashboard'!$C$24:$C$47</c:f>
              <c:numCache>
                <c:formatCode>\$#,##0;"($"#,##0\);0</c:formatCode>
                <c:ptCount val="24"/>
                <c:pt idx="0">
                  <c:v>-10458.99</c:v>
                </c:pt>
                <c:pt idx="1">
                  <c:v>-1000.39</c:v>
                </c:pt>
                <c:pt idx="2">
                  <c:v>-1055.59</c:v>
                </c:pt>
                <c:pt idx="3">
                  <c:v>560.01</c:v>
                </c:pt>
                <c:pt idx="4">
                  <c:v>995.01</c:v>
                </c:pt>
                <c:pt idx="5">
                  <c:v>1488.01</c:v>
                </c:pt>
                <c:pt idx="6">
                  <c:v>4950.01</c:v>
                </c:pt>
                <c:pt idx="7">
                  <c:v>6118.01</c:v>
                </c:pt>
                <c:pt idx="8">
                  <c:v>7286.01</c:v>
                </c:pt>
                <c:pt idx="9">
                  <c:v>8454.01</c:v>
                </c:pt>
                <c:pt idx="10">
                  <c:v>9622.01</c:v>
                </c:pt>
                <c:pt idx="11">
                  <c:v>11082.01</c:v>
                </c:pt>
                <c:pt idx="12">
                  <c:v>19038.9750793651</c:v>
                </c:pt>
                <c:pt idx="13">
                  <c:v>20714.4950793651</c:v>
                </c:pt>
                <c:pt idx="14">
                  <c:v>21971.1350793651</c:v>
                </c:pt>
                <c:pt idx="15">
                  <c:v>23227.7750793651</c:v>
                </c:pt>
                <c:pt idx="16">
                  <c:v>24484.4150793651</c:v>
                </c:pt>
                <c:pt idx="17">
                  <c:v>25741.0550793651</c:v>
                </c:pt>
                <c:pt idx="18">
                  <c:v>28037.1584126984</c:v>
                </c:pt>
                <c:pt idx="19">
                  <c:v>28947.4584126984</c:v>
                </c:pt>
                <c:pt idx="20">
                  <c:v>29857.7584126984</c:v>
                </c:pt>
                <c:pt idx="21">
                  <c:v>30768.0584126984</c:v>
                </c:pt>
                <c:pt idx="22">
                  <c:v>31678.3584126984</c:v>
                </c:pt>
                <c:pt idx="23">
                  <c:v>32588.6584126984</c:v>
                </c:pt>
              </c:numCache>
            </c:numRef>
          </c:val>
          <c:smooth val="1"/>
        </c:ser>
        <c:hiLowLines>
          <c:spPr>
            <a:ln w="0">
              <a:noFill/>
            </a:ln>
          </c:spPr>
        </c:hiLowLines>
        <c:marker val="0"/>
        <c:axId val="58896295"/>
        <c:axId val="76836986"/>
      </c:lineChart>
      <c:catAx>
        <c:axId val="588962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Model 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76836986"/>
        <c:crosses val="autoZero"/>
        <c:auto val="1"/>
        <c:lblAlgn val="ctr"/>
        <c:lblOffset val="100"/>
        <c:noMultiLvlLbl val="0"/>
      </c:catAx>
      <c:valAx>
        <c:axId val="7683698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58896295"/>
        <c:crosses val="autoZero"/>
        <c:crossBetween val="between"/>
      </c:valAx>
      <c:spPr>
        <a:noFill/>
        <a:ln w="0">
          <a:noFill/>
        </a:ln>
      </c:spPr>
    </c:plotArea>
    <c:legend>
      <c:legendPos val="r"/>
      <c:overlay val="0"/>
      <c:spPr>
        <a:noFill/>
        <a:ln w="0">
          <a:noFill/>
        </a:ln>
      </c:spPr>
      <c:txPr>
        <a:bodyPr/>
        <a:lstStyle/>
        <a:p>
          <a:pPr>
            <a:defRPr b="0" sz="900" spc="-1" strike="noStrike">
              <a:solidFill>
                <a:srgbClr val="000000"/>
              </a:solidFill>
              <a:latin typeface="Arial"/>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Arial"/>
              </a:defRPr>
            </a:pPr>
            <a:r>
              <a:rPr b="1" sz="1200" spc="-1" strike="noStrike">
                <a:solidFill>
                  <a:srgbClr val="000000"/>
                </a:solidFill>
                <a:latin typeface="Arial"/>
              </a:rPr>
              <a:t>Annual revenue by channel, Years 1 to 5</a:t>
            </a:r>
          </a:p>
        </c:rich>
      </c:tx>
      <c:overlay val="0"/>
      <c:spPr>
        <a:noFill/>
        <a:ln w="0">
          <a:noFill/>
        </a:ln>
      </c:spPr>
    </c:title>
    <c:autoTitleDeleted val="0"/>
    <c:plotArea>
      <c:barChart>
        <c:barDir val="col"/>
        <c:grouping val="stacked"/>
        <c:varyColors val="0"/>
        <c:ser>
          <c:idx val="0"/>
          <c:order val="0"/>
          <c:tx>
            <c:strRef>
              <c:f>"Amazon US"</c:f>
              <c:strCache>
                <c:ptCount val="1"/>
                <c:pt idx="0">
                  <c:v>Amazon US</c:v>
                </c:pt>
              </c:strCache>
            </c:strRef>
          </c:tx>
          <c:spPr>
            <a:solidFill>
              <a:srgbClr val="2de2ff"/>
            </a:solidFill>
            <a:ln w="0">
              <a:solidFill>
                <a:srgbClr val="2de2ff"/>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 Dashboard'!$B$49:$F$49</c:f>
              <c:multiLvlStrCache>
                <c:ptCount val="1"/>
                <c:lvl>
                  <c:pt idx="0">
                    <c:v>Year 5</c:v>
                  </c:pt>
                </c:lvl>
                <c:lvl>
                  <c:pt idx="0">
                    <c:v>Year 4</c:v>
                  </c:pt>
                </c:lvl>
                <c:lvl>
                  <c:pt idx="0">
                    <c:v>Year 3</c:v>
                  </c:pt>
                </c:lvl>
                <c:lvl>
                  <c:pt idx="0">
                    <c:v>Year 2</c:v>
                  </c:pt>
                </c:lvl>
                <c:lvl>
                  <c:pt idx="0">
                    <c:v>Year 1</c:v>
                  </c:pt>
                </c:lvl>
              </c:multiLvlStrCache>
            </c:multiLvlStrRef>
          </c:cat>
          <c:val>
            <c:numRef>
              <c:f>'KPI Dashboard'!$B$50:$F$50</c:f>
              <c:numCache>
                <c:formatCode>\$#,##0;"($"#,##0\);0</c:formatCode>
                <c:ptCount val="5"/>
                <c:pt idx="0">
                  <c:v>494340</c:v>
                </c:pt>
                <c:pt idx="1">
                  <c:v>1528800</c:v>
                </c:pt>
                <c:pt idx="2">
                  <c:v>1965180.672</c:v>
                </c:pt>
                <c:pt idx="3">
                  <c:v>2263888.134144</c:v>
                </c:pt>
                <c:pt idx="4">
                  <c:v>2434132.52183163</c:v>
                </c:pt>
              </c:numCache>
            </c:numRef>
          </c:val>
        </c:ser>
        <c:ser>
          <c:idx val="1"/>
          <c:order val="1"/>
          <c:tx>
            <c:strRef>
              <c:f>"eBay and Walmart"</c:f>
              <c:strCache>
                <c:ptCount val="1"/>
                <c:pt idx="0">
                  <c:v>eBay and Walmart</c:v>
                </c:pt>
              </c:strCache>
            </c:strRef>
          </c:tx>
          <c:spPr>
            <a:solidFill>
              <a:srgbClr val="8b5cf6"/>
            </a:solidFill>
            <a:ln w="0">
              <a:solidFill>
                <a:srgbClr val="8b5cf6"/>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 Dashboard'!$B$49:$F$49</c:f>
              <c:multiLvlStrCache>
                <c:ptCount val="1"/>
                <c:lvl>
                  <c:pt idx="0">
                    <c:v>Year 5</c:v>
                  </c:pt>
                </c:lvl>
                <c:lvl>
                  <c:pt idx="0">
                    <c:v>Year 4</c:v>
                  </c:pt>
                </c:lvl>
                <c:lvl>
                  <c:pt idx="0">
                    <c:v>Year 3</c:v>
                  </c:pt>
                </c:lvl>
                <c:lvl>
                  <c:pt idx="0">
                    <c:v>Year 2</c:v>
                  </c:pt>
                </c:lvl>
                <c:lvl>
                  <c:pt idx="0">
                    <c:v>Year 1</c:v>
                  </c:pt>
                </c:lvl>
              </c:multiLvlStrCache>
            </c:multiLvlStrRef>
          </c:cat>
          <c:val>
            <c:numRef>
              <c:f>'KPI Dashboard'!$B$51:$F$51</c:f>
              <c:numCache>
                <c:formatCode>\$#,##0;"($"#,##0\);0</c:formatCode>
                <c:ptCount val="5"/>
                <c:pt idx="0">
                  <c:v>0</c:v>
                </c:pt>
                <c:pt idx="1">
                  <c:v>122304</c:v>
                </c:pt>
                <c:pt idx="2">
                  <c:v>196518.0672</c:v>
                </c:pt>
                <c:pt idx="3">
                  <c:v>271666.57609728</c:v>
                </c:pt>
                <c:pt idx="4">
                  <c:v>292095.902619796</c:v>
                </c:pt>
              </c:numCache>
            </c:numRef>
          </c:val>
        </c:ser>
        <c:ser>
          <c:idx val="2"/>
          <c:order val="2"/>
          <c:tx>
            <c:strRef>
              <c:f>"B2B installer and AV integrator"</c:f>
              <c:strCache>
                <c:ptCount val="1"/>
                <c:pt idx="0">
                  <c:v>B2B installer and AV integrator</c:v>
                </c:pt>
              </c:strCache>
            </c:strRef>
          </c:tx>
          <c:spPr>
            <a:solidFill>
              <a:srgbClr val="3ddc97"/>
            </a:solidFill>
            <a:ln w="0">
              <a:solidFill>
                <a:srgbClr val="3ddc97"/>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 Dashboard'!$B$49:$F$49</c:f>
              <c:multiLvlStrCache>
                <c:ptCount val="1"/>
                <c:lvl>
                  <c:pt idx="0">
                    <c:v>Year 5</c:v>
                  </c:pt>
                </c:lvl>
                <c:lvl>
                  <c:pt idx="0">
                    <c:v>Year 4</c:v>
                  </c:pt>
                </c:lvl>
                <c:lvl>
                  <c:pt idx="0">
                    <c:v>Year 3</c:v>
                  </c:pt>
                </c:lvl>
                <c:lvl>
                  <c:pt idx="0">
                    <c:v>Year 2</c:v>
                  </c:pt>
                </c:lvl>
                <c:lvl>
                  <c:pt idx="0">
                    <c:v>Year 1</c:v>
                  </c:pt>
                </c:lvl>
              </c:multiLvlStrCache>
            </c:multiLvlStrRef>
          </c:cat>
          <c:val>
            <c:numRef>
              <c:f>'KPI Dashboard'!$B$52:$F$52</c:f>
              <c:numCache>
                <c:formatCode>\$#,##0;"($"#,##0\);0</c:formatCode>
                <c:ptCount val="5"/>
                <c:pt idx="0">
                  <c:v>0</c:v>
                </c:pt>
                <c:pt idx="1">
                  <c:v>120000</c:v>
                </c:pt>
                <c:pt idx="2">
                  <c:v>350000</c:v>
                </c:pt>
                <c:pt idx="3">
                  <c:v>600000</c:v>
                </c:pt>
                <c:pt idx="4">
                  <c:v>850000</c:v>
                </c:pt>
              </c:numCache>
            </c:numRef>
          </c:val>
        </c:ser>
        <c:ser>
          <c:idx val="3"/>
          <c:order val="3"/>
          <c:tx>
            <c:strRef>
              <c:f>"DTC site"</c:f>
              <c:strCache>
                <c:ptCount val="1"/>
                <c:pt idx="0">
                  <c:v>DTC site</c:v>
                </c:pt>
              </c:strCache>
            </c:strRef>
          </c:tx>
          <c:spPr>
            <a:solidFill>
              <a:srgbClr val="ffb547"/>
            </a:solidFill>
            <a:ln w="0">
              <a:solidFill>
                <a:srgbClr val="ffb547"/>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 Dashboard'!$B$49:$F$49</c:f>
              <c:multiLvlStrCache>
                <c:ptCount val="1"/>
                <c:lvl>
                  <c:pt idx="0">
                    <c:v>Year 5</c:v>
                  </c:pt>
                </c:lvl>
                <c:lvl>
                  <c:pt idx="0">
                    <c:v>Year 4</c:v>
                  </c:pt>
                </c:lvl>
                <c:lvl>
                  <c:pt idx="0">
                    <c:v>Year 3</c:v>
                  </c:pt>
                </c:lvl>
                <c:lvl>
                  <c:pt idx="0">
                    <c:v>Year 2</c:v>
                  </c:pt>
                </c:lvl>
                <c:lvl>
                  <c:pt idx="0">
                    <c:v>Year 1</c:v>
                  </c:pt>
                </c:lvl>
              </c:multiLvlStrCache>
            </c:multiLvlStrRef>
          </c:cat>
          <c:val>
            <c:numRef>
              <c:f>'KPI Dashboard'!$B$53:$F$53</c:f>
              <c:numCache>
                <c:formatCode>\$#,##0;"($"#,##0\);0</c:formatCode>
                <c:ptCount val="5"/>
                <c:pt idx="0">
                  <c:v>0</c:v>
                </c:pt>
                <c:pt idx="1">
                  <c:v>0</c:v>
                </c:pt>
                <c:pt idx="2">
                  <c:v>100000</c:v>
                </c:pt>
                <c:pt idx="3">
                  <c:v>250000</c:v>
                </c:pt>
                <c:pt idx="4">
                  <c:v>400000</c:v>
                </c:pt>
              </c:numCache>
            </c:numRef>
          </c:val>
        </c:ser>
        <c:ser>
          <c:idx val="4"/>
          <c:order val="4"/>
          <c:tx>
            <c:strRef>
              <c:f>"Amazon Canada"</c:f>
              <c:strCache>
                <c:ptCount val="1"/>
                <c:pt idx="0">
                  <c:v>Amazon Canada</c:v>
                </c:pt>
              </c:strCache>
            </c:strRef>
          </c:tx>
          <c:spPr>
            <a:solidFill>
              <a:srgbClr val="ff4fd8"/>
            </a:solidFill>
            <a:ln w="0">
              <a:solidFill>
                <a:srgbClr val="ff4fd8"/>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 Dashboard'!$B$49:$F$49</c:f>
              <c:multiLvlStrCache>
                <c:ptCount val="1"/>
                <c:lvl>
                  <c:pt idx="0">
                    <c:v>Year 5</c:v>
                  </c:pt>
                </c:lvl>
                <c:lvl>
                  <c:pt idx="0">
                    <c:v>Year 4</c:v>
                  </c:pt>
                </c:lvl>
                <c:lvl>
                  <c:pt idx="0">
                    <c:v>Year 3</c:v>
                  </c:pt>
                </c:lvl>
                <c:lvl>
                  <c:pt idx="0">
                    <c:v>Year 2</c:v>
                  </c:pt>
                </c:lvl>
                <c:lvl>
                  <c:pt idx="0">
                    <c:v>Year 1</c:v>
                  </c:pt>
                </c:lvl>
              </c:multiLvlStrCache>
            </c:multiLvlStrRef>
          </c:cat>
          <c:val>
            <c:numRef>
              <c:f>'KPI Dashboard'!$B$54:$F$54</c:f>
              <c:numCache>
                <c:formatCode>\$#,##0;"($"#,##0\);0</c:formatCode>
                <c:ptCount val="5"/>
                <c:pt idx="0">
                  <c:v>0</c:v>
                </c:pt>
                <c:pt idx="1">
                  <c:v>0</c:v>
                </c:pt>
                <c:pt idx="2">
                  <c:v>0</c:v>
                </c:pt>
                <c:pt idx="3">
                  <c:v>120000</c:v>
                </c:pt>
                <c:pt idx="4">
                  <c:v>250000</c:v>
                </c:pt>
              </c:numCache>
            </c:numRef>
          </c:val>
        </c:ser>
        <c:ser>
          <c:idx val="5"/>
          <c:order val="5"/>
          <c:tx>
            <c:strRef>
              <c:f>"Pro line"</c:f>
              <c:strCache>
                <c:ptCount val="1"/>
                <c:pt idx="0">
                  <c:v>Pro line</c:v>
                </c:pt>
              </c:strCache>
            </c:strRef>
          </c:tx>
          <c:spPr>
            <a:solidFill>
              <a:srgbClr val="9aa5c4"/>
            </a:solidFill>
            <a:ln w="0">
              <a:solidFill>
                <a:srgbClr val="9aa5c4"/>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'KPI Dashboard'!$B$49:$F$49</c:f>
              <c:multiLvlStrCache>
                <c:ptCount val="1"/>
                <c:lvl>
                  <c:pt idx="0">
                    <c:v>Year 5</c:v>
                  </c:pt>
                </c:lvl>
                <c:lvl>
                  <c:pt idx="0">
                    <c:v>Year 4</c:v>
                  </c:pt>
                </c:lvl>
                <c:lvl>
                  <c:pt idx="0">
                    <c:v>Year 3</c:v>
                  </c:pt>
                </c:lvl>
                <c:lvl>
                  <c:pt idx="0">
                    <c:v>Year 2</c:v>
                  </c:pt>
                </c:lvl>
                <c:lvl>
                  <c:pt idx="0">
                    <c:v>Year 1</c:v>
                  </c:pt>
                </c:lvl>
              </c:multiLvlStrCache>
            </c:multiLvlStrRef>
          </c:cat>
          <c:val>
            <c:numRef>
              <c:f>'KPI Dashboard'!$B$55:$F$55</c:f>
              <c:numCache>
                <c:formatCode>\$#,##0;"($"#,##0\);0</c:formatCode>
                <c:ptCount val="5"/>
                <c:pt idx="0">
                  <c:v>0</c:v>
                </c:pt>
                <c:pt idx="1">
                  <c:v>0</c:v>
                </c:pt>
                <c:pt idx="2">
                  <c:v>0</c:v>
                </c:pt>
                <c:pt idx="3">
                  <c:v>150000</c:v>
                </c:pt>
                <c:pt idx="4">
                  <c:v>350000</c:v>
                </c:pt>
              </c:numCache>
            </c:numRef>
          </c:val>
        </c:ser>
        <c:gapWidth val="150"/>
        <c:overlap val="100"/>
        <c:axId val="63460248"/>
        <c:axId val="1770603"/>
      </c:barChart>
      <c:catAx>
        <c:axId val="6346024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1770603"/>
        <c:crosses val="autoZero"/>
        <c:auto val="1"/>
        <c:lblAlgn val="ctr"/>
        <c:lblOffset val="100"/>
        <c:noMultiLvlLbl val="0"/>
      </c:catAx>
      <c:valAx>
        <c:axId val="1770603"/>
        <c:scaling>
          <c:orientation val="minMax"/>
        </c:scaling>
        <c:delete val="0"/>
        <c:axPos val="l"/>
        <c:majorGridlines>
          <c:spPr>
            <a:ln w="9360">
              <a:solidFill>
                <a:srgbClr val="878787"/>
              </a:solidFill>
              <a:round/>
            </a:ln>
          </c:spPr>
        </c:majorGridlines>
        <c:numFmt formatCode="\$#,##0;&quot;($&quot;#,##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63460248"/>
        <c:crosses val="autoZero"/>
        <c:crossBetween val="between"/>
      </c:valAx>
      <c:spPr>
        <a:noFill/>
        <a:ln w="0">
          <a:noFill/>
        </a:ln>
      </c:spPr>
    </c:plotArea>
    <c:legend>
      <c:legendPos val="r"/>
      <c:overlay val="0"/>
      <c:spPr>
        <a:noFill/>
        <a:ln w="0">
          <a:noFill/>
        </a:ln>
      </c:spPr>
      <c:txPr>
        <a:bodyPr/>
        <a:lstStyle/>
        <a:p>
          <a:pPr>
            <a:defRPr b="0" sz="900" spc="-1" strike="noStrike">
              <a:solidFill>
                <a:srgbClr val="000000"/>
              </a:solidFill>
              <a:latin typeface="Arial"/>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Arial"/>
              </a:defRPr>
            </a:pPr>
            <a:r>
              <a:rPr b="1" sz="1200" spc="-1" strike="noStrike">
                <a:solidFill>
                  <a:srgbClr val="000000"/>
                </a:solidFill>
                <a:latin typeface="Arial"/>
              </a:rPr>
              <a:t>Cash balance by month before funding, minimum marked (Months 0 to 24)</a:t>
            </a:r>
          </a:p>
        </c:rich>
      </c:tx>
      <c:overlay val="0"/>
      <c:spPr>
        <a:noFill/>
        <a:ln w="0">
          <a:noFill/>
        </a:ln>
      </c:spPr>
    </c:title>
    <c:autoTitleDeleted val="0"/>
    <c:plotArea>
      <c:barChart>
        <c:barDir val="col"/>
        <c:grouping val="clustered"/>
        <c:varyColors val="0"/>
        <c:ser>
          <c:idx val="0"/>
          <c:order val="0"/>
          <c:tx>
            <c:strRef>
              <c:f>"Minimum (peak cash need)"</c:f>
              <c:strCache>
                <c:ptCount val="1"/>
                <c:pt idx="0">
                  <c:v>Minimum (peak cash need)</c:v>
                </c:pt>
              </c:strCache>
            </c:strRef>
          </c:tx>
          <c:spPr>
            <a:solidFill>
              <a:srgbClr val="ff4fd8"/>
            </a:solidFill>
            <a:ln w="0">
              <a:solidFill>
                <a:srgbClr val="ff4fd8"/>
              </a:solid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Dashboard'!$A$23:$A$47</c:f>
              <c:strCache>
                <c:ptCount val="25"/>
                <c:pt idx="0">
                  <c:v>Month 0</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pt idx="13">
                  <c:v>Month 13</c:v>
                </c:pt>
                <c:pt idx="14">
                  <c:v>Month 14</c:v>
                </c:pt>
                <c:pt idx="15">
                  <c:v>Month 15</c:v>
                </c:pt>
                <c:pt idx="16">
                  <c:v>Month 16</c:v>
                </c:pt>
                <c:pt idx="17">
                  <c:v>Month 17</c:v>
                </c:pt>
                <c:pt idx="18">
                  <c:v>Month 18</c:v>
                </c:pt>
                <c:pt idx="19">
                  <c:v>Month 19</c:v>
                </c:pt>
                <c:pt idx="20">
                  <c:v>Month 20</c:v>
                </c:pt>
                <c:pt idx="21">
                  <c:v>Month 21</c:v>
                </c:pt>
                <c:pt idx="22">
                  <c:v>Month 22</c:v>
                </c:pt>
                <c:pt idx="23">
                  <c:v>Month 23</c:v>
                </c:pt>
                <c:pt idx="24">
                  <c:v>Month 24</c:v>
                </c:pt>
              </c:strCache>
            </c:strRef>
          </c:cat>
          <c:val>
            <c:numRef>
              <c:f>'KPI Dashboard'!$E$23:$E$47</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-96319.1887175048</c:v>
                </c:pt>
                <c:pt idx="13">
                  <c:v>0</c:v>
                </c:pt>
                <c:pt idx="14">
                  <c:v>0</c:v>
                </c:pt>
                <c:pt idx="15">
                  <c:v>0</c:v>
                </c:pt>
                <c:pt idx="16">
                  <c:v>0</c:v>
                </c:pt>
                <c:pt idx="17">
                  <c:v>0</c:v>
                </c:pt>
                <c:pt idx="18">
                  <c:v>0</c:v>
                </c:pt>
                <c:pt idx="19">
                  <c:v>0</c:v>
                </c:pt>
                <c:pt idx="20">
                  <c:v>0</c:v>
                </c:pt>
                <c:pt idx="21">
                  <c:v>0</c:v>
                </c:pt>
                <c:pt idx="22">
                  <c:v>0</c:v>
                </c:pt>
                <c:pt idx="23">
                  <c:v>0</c:v>
                </c:pt>
                <c:pt idx="24">
                  <c:v>0</c:v>
                </c:pt>
              </c:numCache>
            </c:numRef>
          </c:val>
        </c:ser>
        <c:gapWidth val="150"/>
        <c:overlap val="0"/>
        <c:axId val="53339707"/>
        <c:axId val="39148061"/>
      </c:barChart>
      <c:lineChart>
        <c:grouping val="standard"/>
        <c:varyColors val="0"/>
        <c:ser>
          <c:idx val="1"/>
          <c:order val="1"/>
          <c:tx>
            <c:strRef>
              <c:f>"Cash balance before funding"</c:f>
              <c:strCache>
                <c:ptCount val="1"/>
                <c:pt idx="0">
                  <c:v>Cash balance before funding</c:v>
                </c:pt>
              </c:strCache>
            </c:strRef>
          </c:tx>
          <c:spPr>
            <a:solidFill>
              <a:srgbClr val="2de2ff"/>
            </a:solidFill>
            <a:ln w="19080">
              <a:solidFill>
                <a:srgbClr val="2de2ff"/>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Dashboard'!$A$23:$A$47</c:f>
              <c:strCache>
                <c:ptCount val="25"/>
                <c:pt idx="0">
                  <c:v>Month 0</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pt idx="13">
                  <c:v>Month 13</c:v>
                </c:pt>
                <c:pt idx="14">
                  <c:v>Month 14</c:v>
                </c:pt>
                <c:pt idx="15">
                  <c:v>Month 15</c:v>
                </c:pt>
                <c:pt idx="16">
                  <c:v>Month 16</c:v>
                </c:pt>
                <c:pt idx="17">
                  <c:v>Month 17</c:v>
                </c:pt>
                <c:pt idx="18">
                  <c:v>Month 18</c:v>
                </c:pt>
                <c:pt idx="19">
                  <c:v>Month 19</c:v>
                </c:pt>
                <c:pt idx="20">
                  <c:v>Month 20</c:v>
                </c:pt>
                <c:pt idx="21">
                  <c:v>Month 21</c:v>
                </c:pt>
                <c:pt idx="22">
                  <c:v>Month 22</c:v>
                </c:pt>
                <c:pt idx="23">
                  <c:v>Month 23</c:v>
                </c:pt>
                <c:pt idx="24">
                  <c:v>Month 24</c:v>
                </c:pt>
              </c:strCache>
            </c:strRef>
          </c:cat>
          <c:val>
            <c:numRef>
              <c:f>'KPI Dashboard'!$D$23:$D$47</c:f>
              <c:numCache>
                <c:formatCode>\$#,##0;"($"#,##0\);0</c:formatCode>
                <c:ptCount val="25"/>
                <c:pt idx="0">
                  <c:v>31128.7459207459</c:v>
                </c:pt>
                <c:pt idx="1">
                  <c:v>8533.71675990675</c:v>
                </c:pt>
                <c:pt idx="2">
                  <c:v>236.339813519809</c:v>
                </c:pt>
                <c:pt idx="3">
                  <c:v>-9084.32897435898</c:v>
                </c:pt>
                <c:pt idx="4">
                  <c:v>-18385.3516083916</c:v>
                </c:pt>
                <c:pt idx="5">
                  <c:v>-30785.1905594406</c:v>
                </c:pt>
                <c:pt idx="6">
                  <c:v>-40401.4277389278</c:v>
                </c:pt>
                <c:pt idx="7">
                  <c:v>-48398.5171794872</c:v>
                </c:pt>
                <c:pt idx="8">
                  <c:v>-55585.4049039849</c:v>
                </c:pt>
                <c:pt idx="9">
                  <c:v>-64474.337000407</c:v>
                </c:pt>
                <c:pt idx="10">
                  <c:v>-76337.1251977652</c:v>
                </c:pt>
                <c:pt idx="11">
                  <c:v>-87168.5191871092</c:v>
                </c:pt>
                <c:pt idx="12">
                  <c:v>-96319.1887175048</c:v>
                </c:pt>
                <c:pt idx="13">
                  <c:v>-95581.753997632</c:v>
                </c:pt>
                <c:pt idx="14">
                  <c:v>-85176.1964194324</c:v>
                </c:pt>
                <c:pt idx="15">
                  <c:v>-72584.260976431</c:v>
                </c:pt>
                <c:pt idx="16">
                  <c:v>-58017.4855334295</c:v>
                </c:pt>
                <c:pt idx="17">
                  <c:v>-41455.9459785399</c:v>
                </c:pt>
                <c:pt idx="18">
                  <c:v>-22853.1527173566</c:v>
                </c:pt>
                <c:pt idx="19">
                  <c:v>-1252.63678950666</c:v>
                </c:pt>
                <c:pt idx="20">
                  <c:v>19120.1579608541</c:v>
                </c:pt>
                <c:pt idx="21">
                  <c:v>35464.3277492879</c:v>
                </c:pt>
                <c:pt idx="22">
                  <c:v>45474.3235256227</c:v>
                </c:pt>
                <c:pt idx="23">
                  <c:v>57333.9050664597</c:v>
                </c:pt>
                <c:pt idx="24">
                  <c:v>70495.7016149112</c:v>
                </c:pt>
              </c:numCache>
            </c:numRef>
          </c:val>
          <c:smooth val="1"/>
        </c:ser>
        <c:ser>
          <c:idx val="2"/>
          <c:order val="2"/>
          <c:tx>
            <c:strRef>
              <c:f>"Minimum balance"</c:f>
              <c:strCache>
                <c:ptCount val="1"/>
                <c:pt idx="0">
                  <c:v>Minimum balance</c:v>
                </c:pt>
              </c:strCache>
            </c:strRef>
          </c:tx>
          <c:spPr>
            <a:solidFill>
              <a:srgbClr val="ffb547"/>
            </a:solidFill>
            <a:ln w="9360">
              <a:solidFill>
                <a:srgbClr val="ffb547"/>
              </a:solidFill>
              <a:prstDash val="dash"/>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Dashboard'!$A$23:$A$47</c:f>
              <c:strCache>
                <c:ptCount val="25"/>
                <c:pt idx="0">
                  <c:v>Month 0</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pt idx="13">
                  <c:v>Month 13</c:v>
                </c:pt>
                <c:pt idx="14">
                  <c:v>Month 14</c:v>
                </c:pt>
                <c:pt idx="15">
                  <c:v>Month 15</c:v>
                </c:pt>
                <c:pt idx="16">
                  <c:v>Month 16</c:v>
                </c:pt>
                <c:pt idx="17">
                  <c:v>Month 17</c:v>
                </c:pt>
                <c:pt idx="18">
                  <c:v>Month 18</c:v>
                </c:pt>
                <c:pt idx="19">
                  <c:v>Month 19</c:v>
                </c:pt>
                <c:pt idx="20">
                  <c:v>Month 20</c:v>
                </c:pt>
                <c:pt idx="21">
                  <c:v>Month 21</c:v>
                </c:pt>
                <c:pt idx="22">
                  <c:v>Month 22</c:v>
                </c:pt>
                <c:pt idx="23">
                  <c:v>Month 23</c:v>
                </c:pt>
                <c:pt idx="24">
                  <c:v>Month 24</c:v>
                </c:pt>
              </c:strCache>
            </c:strRef>
          </c:cat>
          <c:val>
            <c:numRef>
              <c:f>'KPI Dashboard'!$F$23:$F$47</c:f>
              <c:numCache>
                <c:formatCode>\$#,##0;"($"#,##0\);0</c:formatCode>
                <c:ptCount val="25"/>
                <c:pt idx="0">
                  <c:v>-96319.1887175048</c:v>
                </c:pt>
                <c:pt idx="1">
                  <c:v>-96319.1887175048</c:v>
                </c:pt>
                <c:pt idx="2">
                  <c:v>-96319.1887175048</c:v>
                </c:pt>
                <c:pt idx="3">
                  <c:v>-96319.1887175048</c:v>
                </c:pt>
                <c:pt idx="4">
                  <c:v>-96319.1887175048</c:v>
                </c:pt>
                <c:pt idx="5">
                  <c:v>-96319.1887175048</c:v>
                </c:pt>
                <c:pt idx="6">
                  <c:v>-96319.1887175048</c:v>
                </c:pt>
                <c:pt idx="7">
                  <c:v>-96319.1887175048</c:v>
                </c:pt>
                <c:pt idx="8">
                  <c:v>-96319.1887175048</c:v>
                </c:pt>
                <c:pt idx="9">
                  <c:v>-96319.1887175048</c:v>
                </c:pt>
                <c:pt idx="10">
                  <c:v>-96319.1887175048</c:v>
                </c:pt>
                <c:pt idx="11">
                  <c:v>-96319.1887175048</c:v>
                </c:pt>
                <c:pt idx="12">
                  <c:v>-96319.1887175048</c:v>
                </c:pt>
                <c:pt idx="13">
                  <c:v>-96319.1887175048</c:v>
                </c:pt>
                <c:pt idx="14">
                  <c:v>-96319.1887175048</c:v>
                </c:pt>
                <c:pt idx="15">
                  <c:v>-96319.1887175048</c:v>
                </c:pt>
                <c:pt idx="16">
                  <c:v>-96319.1887175048</c:v>
                </c:pt>
                <c:pt idx="17">
                  <c:v>-96319.1887175048</c:v>
                </c:pt>
                <c:pt idx="18">
                  <c:v>-96319.1887175048</c:v>
                </c:pt>
                <c:pt idx="19">
                  <c:v>-96319.1887175048</c:v>
                </c:pt>
                <c:pt idx="20">
                  <c:v>-96319.1887175048</c:v>
                </c:pt>
                <c:pt idx="21">
                  <c:v>-96319.1887175048</c:v>
                </c:pt>
                <c:pt idx="22">
                  <c:v>-96319.1887175048</c:v>
                </c:pt>
                <c:pt idx="23">
                  <c:v>-96319.1887175048</c:v>
                </c:pt>
                <c:pt idx="24">
                  <c:v>-96319.1887175048</c:v>
                </c:pt>
              </c:numCache>
            </c:numRef>
          </c:val>
          <c:smooth val="1"/>
        </c:ser>
        <c:hiLowLines>
          <c:spPr>
            <a:ln w="0">
              <a:noFill/>
            </a:ln>
          </c:spPr>
        </c:hiLowLines>
        <c:marker val="0"/>
        <c:axId val="53339707"/>
        <c:axId val="39148061"/>
      </c:lineChart>
      <c:catAx>
        <c:axId val="5333970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39148061"/>
        <c:crosses val="autoZero"/>
        <c:auto val="1"/>
        <c:lblAlgn val="ctr"/>
        <c:lblOffset val="100"/>
        <c:noMultiLvlLbl val="0"/>
      </c:catAx>
      <c:valAx>
        <c:axId val="39148061"/>
        <c:scaling>
          <c:orientation val="minMax"/>
        </c:scaling>
        <c:delete val="0"/>
        <c:axPos val="l"/>
        <c:majorGridlines>
          <c:spPr>
            <a:ln w="9360">
              <a:solidFill>
                <a:srgbClr val="878787"/>
              </a:solidFill>
              <a:round/>
            </a:ln>
          </c:spPr>
        </c:majorGridlines>
        <c:numFmt formatCode="\$#,##0;&quot;($&quot;#,##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53339707"/>
        <c:crosses val="autoZero"/>
        <c:crossBetween val="between"/>
      </c:valAx>
      <c:spPr>
        <a:noFill/>
        <a:ln w="0">
          <a:noFill/>
        </a:ln>
      </c:spPr>
    </c:plotArea>
    <c:legend>
      <c:legendPos val="r"/>
      <c:overlay val="0"/>
      <c:spPr>
        <a:noFill/>
        <a:ln w="0">
          <a:noFill/>
        </a:ln>
      </c:spPr>
      <c:txPr>
        <a:bodyPr/>
        <a:lstStyle/>
        <a:p>
          <a:pPr>
            <a:defRPr b="0" sz="900" spc="-1" strike="noStrike">
              <a:solidFill>
                <a:srgbClr val="000000"/>
              </a:solidFill>
              <a:latin typeface="Arial"/>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Arial"/>
              </a:defRPr>
            </a:pPr>
            <a:r>
              <a:rPr b="1" sz="1200" spc="-1" strike="noStrike">
                <a:solidFill>
                  <a:srgbClr val="000000"/>
                </a:solidFill>
                <a:latin typeface="Arial"/>
              </a:rPr>
              <a:t>Sensitivity tornado: Year 5 net vs base</a:t>
            </a:r>
          </a:p>
        </c:rich>
      </c:tx>
      <c:overlay val="0"/>
      <c:spPr>
        <a:noFill/>
        <a:ln w="0">
          <a:noFill/>
        </a:ln>
      </c:spPr>
    </c:title>
    <c:autoTitleDeleted val="0"/>
    <c:plotArea>
      <c:barChart>
        <c:barDir val="bar"/>
        <c:grouping val="clustered"/>
        <c:varyColors val="0"/>
        <c:ser>
          <c:idx val="0"/>
          <c:order val="0"/>
          <c:tx>
            <c:strRef>
              <c:f>"Downside setting"</c:f>
              <c:strCache>
                <c:ptCount val="1"/>
                <c:pt idx="0">
                  <c:v>Downside setting</c:v>
                </c:pt>
              </c:strCache>
            </c:strRef>
          </c:tx>
          <c:spPr>
            <a:solidFill>
              <a:srgbClr val="ffb547"/>
            </a:solidFill>
            <a:ln w="0">
              <a:solidFill>
                <a:srgbClr val="ffb547"/>
              </a:solid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Dashboard'!$A$58:$A$63</c:f>
              <c:strCache>
                <c:ptCount val="6"/>
                <c:pt idx="0">
                  <c:v>Factory cost (FOB)</c:v>
                </c:pt>
                <c:pt idx="1">
                  <c:v>Duty rate</c:v>
                </c:pt>
                <c:pt idx="2">
                  <c:v>ASP</c:v>
                </c:pt>
                <c:pt idx="3">
                  <c:v>Ad spend</c:v>
                </c:pt>
                <c:pt idx="4">
                  <c:v>FX (KRW per USD)</c:v>
                </c:pt>
                <c:pt idx="5">
                  <c:v>Return rate</c:v>
                </c:pt>
              </c:strCache>
            </c:strRef>
          </c:cat>
          <c:val>
            <c:numRef>
              <c:f>'KPI Dashboard'!$B$58:$B$63</c:f>
              <c:numCache>
                <c:formatCode>\$#,##0;"($"#,##0\);0</c:formatCode>
                <c:ptCount val="6"/>
                <c:pt idx="0">
                  <c:v>-1958155.02100686</c:v>
                </c:pt>
                <c:pt idx="1">
                  <c:v>-85093.5154605937</c:v>
                </c:pt>
                <c:pt idx="2">
                  <c:v>-150501.937005113</c:v>
                </c:pt>
                <c:pt idx="3">
                  <c:v>-137286.852733543</c:v>
                </c:pt>
                <c:pt idx="4">
                  <c:v>-85093.5154605939</c:v>
                </c:pt>
                <c:pt idx="5">
                  <c:v>-114405.710611286</c:v>
                </c:pt>
              </c:numCache>
            </c:numRef>
          </c:val>
        </c:ser>
        <c:ser>
          <c:idx val="1"/>
          <c:order val="1"/>
          <c:tx>
            <c:strRef>
              <c:f>"Upside setting"</c:f>
              <c:strCache>
                <c:ptCount val="1"/>
                <c:pt idx="0">
                  <c:v>Upside setting</c:v>
                </c:pt>
              </c:strCache>
            </c:strRef>
          </c:tx>
          <c:spPr>
            <a:solidFill>
              <a:srgbClr val="3ddc97"/>
            </a:solidFill>
            <a:ln w="0">
              <a:solidFill>
                <a:srgbClr val="3ddc97"/>
              </a:solid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Dashboard'!$A$58:$A$63</c:f>
              <c:strCache>
                <c:ptCount val="6"/>
                <c:pt idx="0">
                  <c:v>Factory cost (FOB)</c:v>
                </c:pt>
                <c:pt idx="1">
                  <c:v>Duty rate</c:v>
                </c:pt>
                <c:pt idx="2">
                  <c:v>ASP</c:v>
                </c:pt>
                <c:pt idx="3">
                  <c:v>Ad spend</c:v>
                </c:pt>
                <c:pt idx="4">
                  <c:v>FX (KRW per USD)</c:v>
                </c:pt>
                <c:pt idx="5">
                  <c:v>Return rate</c:v>
                </c:pt>
              </c:strCache>
            </c:strRef>
          </c:cat>
          <c:val>
            <c:numRef>
              <c:f>'KPI Dashboard'!$C$58:$C$63</c:f>
              <c:numCache>
                <c:formatCode>\$#,##0;"($"#,##0\);0</c:formatCode>
                <c:ptCount val="6"/>
                <c:pt idx="0">
                  <c:v>119216.015160292</c:v>
                </c:pt>
                <c:pt idx="1">
                  <c:v>234858.102671239</c:v>
                </c:pt>
                <c:pt idx="2">
                  <c:v>150501.937005113</c:v>
                </c:pt>
                <c:pt idx="3">
                  <c:v>137286.852733543</c:v>
                </c:pt>
                <c:pt idx="4">
                  <c:v>65878.8506791693</c:v>
                </c:pt>
                <c:pt idx="5">
                  <c:v>22881.1421222572</c:v>
                </c:pt>
              </c:numCache>
            </c:numRef>
          </c:val>
        </c:ser>
        <c:gapWidth val="150"/>
        <c:overlap val="100"/>
        <c:axId val="23552682"/>
        <c:axId val="27209204"/>
      </c:barChart>
      <c:catAx>
        <c:axId val="23552682"/>
        <c:scaling>
          <c:orientation val="minMax"/>
        </c:scaling>
        <c:delete val="0"/>
        <c:axPos val="b"/>
        <c:numFmt formatCode="\$#,##0;&quot;($&quot;#,##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27209204"/>
        <c:crosses val="autoZero"/>
        <c:auto val="1"/>
        <c:lblAlgn val="ctr"/>
        <c:lblOffset val="100"/>
        <c:noMultiLvlLbl val="0"/>
      </c:catAx>
      <c:valAx>
        <c:axId val="27209204"/>
        <c:scaling>
          <c:orientation val="minMax"/>
        </c:scaling>
        <c:delete val="0"/>
        <c:axPos val="l"/>
        <c:majorGridlines>
          <c:spPr>
            <a:ln w="9360">
              <a:solidFill>
                <a:srgbClr val="878787"/>
              </a:solidFill>
              <a:round/>
            </a:ln>
          </c:spPr>
        </c:majorGridlines>
        <c:numFmt formatCode="\$#,##0;&quot;($&quot;#,##0\);0" sourceLinked="0"/>
        <c:majorTickMark val="none"/>
        <c:minorTickMark val="none"/>
        <c:tickLblPos val="low"/>
        <c:spPr>
          <a:ln w="9360">
            <a:solidFill>
              <a:srgbClr val="878787"/>
            </a:solidFill>
            <a:round/>
          </a:ln>
        </c:spPr>
        <c:txPr>
          <a:bodyPr/>
          <a:lstStyle/>
          <a:p>
            <a:pPr>
              <a:defRPr b="0" sz="900" spc="-1" strike="noStrike">
                <a:solidFill>
                  <a:srgbClr val="000000"/>
                </a:solidFill>
                <a:latin typeface="Arial"/>
              </a:defRPr>
            </a:pPr>
          </a:p>
        </c:txPr>
        <c:crossAx val="23552682"/>
        <c:crosses val="autoZero"/>
        <c:crossBetween val="between"/>
      </c:valAx>
      <c:spPr>
        <a:noFill/>
        <a:ln w="0">
          <a:noFill/>
        </a:ln>
      </c:spPr>
    </c:plotArea>
    <c:legend>
      <c:legendPos val="r"/>
      <c:overlay val="0"/>
      <c:spPr>
        <a:noFill/>
        <a:ln w="0">
          <a:noFill/>
        </a:ln>
      </c:spPr>
      <c:txPr>
        <a:bodyPr/>
        <a:lstStyle/>
        <a:p>
          <a:pPr>
            <a:defRPr b="0" sz="900" spc="-1" strike="noStrike">
              <a:solidFill>
                <a:srgbClr val="000000"/>
              </a:solidFill>
              <a:latin typeface="Arial"/>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Arial"/>
              </a:defRPr>
            </a:pPr>
            <a:r>
              <a:rPr b="1" sz="1200" spc="-1" strike="noStrike">
                <a:solidFill>
                  <a:srgbClr val="000000"/>
                </a:solidFill>
                <a:latin typeface="Arial"/>
              </a:rPr>
              <a:t>Duty scenario waterfall: hero net per unit (copper, fiber, stress)</a:t>
            </a:r>
          </a:p>
        </c:rich>
      </c:tx>
      <c:overlay val="0"/>
      <c:spPr>
        <a:noFill/>
        <a:ln w="0">
          <a:noFill/>
        </a:ln>
      </c:spPr>
    </c:title>
    <c:autoTitleDeleted val="0"/>
    <c:plotArea>
      <c:barChart>
        <c:barDir val="col"/>
        <c:grouping val="stacked"/>
        <c:varyColors val="0"/>
        <c:ser>
          <c:idx val="0"/>
          <c:order val="0"/>
          <c:tx>
            <c:strRef>
              <c:f>"base"</c:f>
              <c:strCache>
                <c:ptCount val="1"/>
                <c:pt idx="0">
                  <c:v>base</c:v>
                </c:pt>
              </c:strCache>
            </c:strRef>
          </c:tx>
          <c:spPr>
            <a:no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Dashboard'!$A$66:$A$70</c:f>
              <c:strCache>
                <c:ptCount val="5"/>
                <c:pt idx="0">
                  <c:v>Copper net</c:v>
                </c:pt>
                <c:pt idx="1">
                  <c:v>Fiber ruling uplift</c:v>
                </c:pt>
                <c:pt idx="2">
                  <c:v>Fiber net</c:v>
                </c:pt>
                <c:pt idx="3">
                  <c:v>Stress penalty</c:v>
                </c:pt>
                <c:pt idx="4">
                  <c:v>Stress net</c:v>
                </c:pt>
              </c:strCache>
            </c:strRef>
          </c:cat>
          <c:val>
            <c:numRef>
              <c:f>'KPI Dashboard'!$B$66:$B$70</c:f>
              <c:numCache>
                <c:formatCode>\$#,##0.00;"($"#,##0.00\);0</c:formatCode>
                <c:ptCount val="5"/>
                <c:pt idx="0">
                  <c:v>0</c:v>
                </c:pt>
                <c:pt idx="1">
                  <c:v>7.997</c:v>
                </c:pt>
                <c:pt idx="2">
                  <c:v>0</c:v>
                </c:pt>
                <c:pt idx="3">
                  <c:v>7.25906993006993</c:v>
                </c:pt>
                <c:pt idx="4">
                  <c:v>0</c:v>
                </c:pt>
              </c:numCache>
            </c:numRef>
          </c:val>
        </c:ser>
        <c:ser>
          <c:idx val="1"/>
          <c:order val="1"/>
          <c:tx>
            <c:strRef>
              <c:f>"Net per unit"</c:f>
              <c:strCache>
                <c:ptCount val="1"/>
                <c:pt idx="0">
                  <c:v>Net per unit</c:v>
                </c:pt>
              </c:strCache>
            </c:strRef>
          </c:tx>
          <c:spPr>
            <a:solidFill>
              <a:srgbClr val="2de2ff"/>
            </a:solidFill>
            <a:ln w="0">
              <a:solidFill>
                <a:srgbClr val="2de2ff"/>
              </a:solid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 Dashboard'!$A$66:$A$70</c:f>
              <c:strCache>
                <c:ptCount val="5"/>
                <c:pt idx="0">
                  <c:v>Copper net</c:v>
                </c:pt>
                <c:pt idx="1">
                  <c:v>Fiber ruling uplift</c:v>
                </c:pt>
                <c:pt idx="2">
                  <c:v>Fiber net</c:v>
                </c:pt>
                <c:pt idx="3">
                  <c:v>Stress penalty</c:v>
                </c:pt>
                <c:pt idx="4">
                  <c:v>Stress net</c:v>
                </c:pt>
              </c:strCache>
            </c:strRef>
          </c:cat>
          <c:val>
            <c:numRef>
              <c:f>'KPI Dashboard'!$C$66:$C$70</c:f>
              <c:numCache>
                <c:formatCode>\$#,##0.00;"($"#,##0.00\);0</c:formatCode>
                <c:ptCount val="5"/>
                <c:pt idx="0">
                  <c:v>7.997</c:v>
                </c:pt>
                <c:pt idx="1">
                  <c:v>2.036686993007</c:v>
                </c:pt>
                <c:pt idx="2">
                  <c:v>10.033686993007</c:v>
                </c:pt>
                <c:pt idx="3">
                  <c:v>0.737930069930069</c:v>
                </c:pt>
                <c:pt idx="4">
                  <c:v>7.25906993006993</c:v>
                </c:pt>
              </c:numCache>
            </c:numRef>
          </c:val>
        </c:ser>
        <c:gapWidth val="150"/>
        <c:overlap val="100"/>
        <c:axId val="63048571"/>
        <c:axId val="55169852"/>
      </c:barChart>
      <c:catAx>
        <c:axId val="6304857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55169852"/>
        <c:crosses val="autoZero"/>
        <c:auto val="1"/>
        <c:lblAlgn val="ctr"/>
        <c:lblOffset val="100"/>
        <c:noMultiLvlLbl val="0"/>
      </c:catAx>
      <c:valAx>
        <c:axId val="55169852"/>
        <c:scaling>
          <c:orientation val="minMax"/>
        </c:scaling>
        <c:delete val="0"/>
        <c:axPos val="l"/>
        <c:majorGridlines>
          <c:spPr>
            <a:ln w="9360">
              <a:solidFill>
                <a:srgbClr val="878787"/>
              </a:solidFill>
              <a:round/>
            </a:ln>
          </c:spPr>
        </c:majorGridlines>
        <c:numFmt formatCode="\$#,##0.00;&quot;($&quot;#,##0.00\);0" sourceLinked="0"/>
        <c:majorTickMark val="none"/>
        <c:minorTickMark val="none"/>
        <c:tickLblPos val="nextTo"/>
        <c:spPr>
          <a:ln w="9360">
            <a:solidFill>
              <a:srgbClr val="878787"/>
            </a:solidFill>
            <a:round/>
          </a:ln>
        </c:spPr>
        <c:txPr>
          <a:bodyPr/>
          <a:lstStyle/>
          <a:p>
            <a:pPr>
              <a:defRPr b="0" sz="900" spc="-1" strike="noStrike">
                <a:solidFill>
                  <a:srgbClr val="000000"/>
                </a:solidFill>
                <a:latin typeface="Arial"/>
              </a:defRPr>
            </a:pPr>
          </a:p>
        </c:txPr>
        <c:crossAx val="630485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18</xdr:col>
      <xdr:colOff>363600</xdr:colOff>
      <xdr:row>17</xdr:row>
      <xdr:rowOff>181800</xdr:rowOff>
    </xdr:to>
    <xdr:graphicFrame>
      <xdr:nvGraphicFramePr>
        <xdr:cNvPr id="0" name="Chart 1"/>
        <xdr:cNvGraphicFramePr/>
      </xdr:nvGraphicFramePr>
      <xdr:xfrm>
        <a:off x="11607120" y="571680"/>
        <a:ext cx="6478560" cy="287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20</xdr:row>
      <xdr:rowOff>160920</xdr:rowOff>
    </xdr:from>
    <xdr:to>
      <xdr:col>18</xdr:col>
      <xdr:colOff>363600</xdr:colOff>
      <xdr:row>35</xdr:row>
      <xdr:rowOff>181800</xdr:rowOff>
    </xdr:to>
    <xdr:graphicFrame>
      <xdr:nvGraphicFramePr>
        <xdr:cNvPr id="1" name="Chart 2"/>
        <xdr:cNvGraphicFramePr/>
      </xdr:nvGraphicFramePr>
      <xdr:xfrm>
        <a:off x="11607120" y="4000680"/>
        <a:ext cx="6478560" cy="287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38</xdr:row>
      <xdr:rowOff>160920</xdr:rowOff>
    </xdr:from>
    <xdr:to>
      <xdr:col>18</xdr:col>
      <xdr:colOff>363600</xdr:colOff>
      <xdr:row>53</xdr:row>
      <xdr:rowOff>181800</xdr:rowOff>
    </xdr:to>
    <xdr:graphicFrame>
      <xdr:nvGraphicFramePr>
        <xdr:cNvPr id="2" name="Chart 3"/>
        <xdr:cNvGraphicFramePr/>
      </xdr:nvGraphicFramePr>
      <xdr:xfrm>
        <a:off x="11607120" y="7429680"/>
        <a:ext cx="6478560" cy="2878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56</xdr:row>
      <xdr:rowOff>160920</xdr:rowOff>
    </xdr:from>
    <xdr:to>
      <xdr:col>18</xdr:col>
      <xdr:colOff>363600</xdr:colOff>
      <xdr:row>71</xdr:row>
      <xdr:rowOff>181800</xdr:rowOff>
    </xdr:to>
    <xdr:graphicFrame>
      <xdr:nvGraphicFramePr>
        <xdr:cNvPr id="3" name="Chart 4"/>
        <xdr:cNvGraphicFramePr/>
      </xdr:nvGraphicFramePr>
      <xdr:xfrm>
        <a:off x="11607120" y="10858680"/>
        <a:ext cx="6478560" cy="2878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74</xdr:row>
      <xdr:rowOff>160920</xdr:rowOff>
    </xdr:from>
    <xdr:to>
      <xdr:col>18</xdr:col>
      <xdr:colOff>363600</xdr:colOff>
      <xdr:row>89</xdr:row>
      <xdr:rowOff>181800</xdr:rowOff>
    </xdr:to>
    <xdr:graphicFrame>
      <xdr:nvGraphicFramePr>
        <xdr:cNvPr id="4" name="Chart 5"/>
        <xdr:cNvGraphicFramePr/>
      </xdr:nvGraphicFramePr>
      <xdr:xfrm>
        <a:off x="11607120" y="14287680"/>
        <a:ext cx="6478560" cy="287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0"/>
  </cols>
  <sheetData>
    <row r="1" customFormat="false" ht="19.7"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t="s">
        <v>2</v>
      </c>
    </row>
    <row r="5" customFormat="false" ht="15" hidden="false" customHeight="false" outlineLevel="0" collapsed="false">
      <c r="A5" s="5"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3" customFormat="false" ht="15" hidden="false" customHeight="false" outlineLevel="0" collapsed="false">
      <c r="A13" s="5" t="s">
        <v>10</v>
      </c>
    </row>
    <row r="14" customFormat="false" ht="15" hidden="false" customHeight="false" outlineLevel="0" collapsed="false">
      <c r="A14" s="6" t="s">
        <v>11</v>
      </c>
    </row>
    <row r="15" customFormat="false" ht="15" hidden="false" customHeight="false" outlineLevel="0" collapsed="false">
      <c r="A15" s="3" t="s">
        <v>12</v>
      </c>
    </row>
    <row r="16" customFormat="false" ht="15" hidden="false" customHeight="false" outlineLevel="0" collapsed="false">
      <c r="A16" s="7" t="s">
        <v>13</v>
      </c>
    </row>
    <row r="17" customFormat="false" ht="15" hidden="false" customHeight="false" outlineLevel="0" collapsed="false">
      <c r="A17" s="8" t="s">
        <v>14</v>
      </c>
    </row>
    <row r="19" customFormat="false" ht="15" hidden="false" customHeight="false" outlineLevel="0" collapsed="false">
      <c r="A19" s="5" t="s">
        <v>15</v>
      </c>
    </row>
    <row r="20" customFormat="false" ht="15" hidden="false" customHeight="false" outlineLevel="0" collapsed="false">
      <c r="A20" s="9" t="s">
        <v>16</v>
      </c>
      <c r="B20" s="3" t="s">
        <v>17</v>
      </c>
    </row>
    <row r="21" customFormat="false" ht="15" hidden="false" customHeight="false" outlineLevel="0" collapsed="false">
      <c r="A21" s="9" t="s">
        <v>18</v>
      </c>
      <c r="B21" s="3" t="s">
        <v>19</v>
      </c>
    </row>
    <row r="22" customFormat="false" ht="15" hidden="false" customHeight="false" outlineLevel="0" collapsed="false">
      <c r="A22" s="9" t="s">
        <v>20</v>
      </c>
      <c r="B22" s="3" t="s">
        <v>21</v>
      </c>
    </row>
    <row r="23" customFormat="false" ht="15" hidden="false" customHeight="false" outlineLevel="0" collapsed="false">
      <c r="A23" s="9" t="s">
        <v>22</v>
      </c>
      <c r="B23" s="3" t="s">
        <v>23</v>
      </c>
    </row>
    <row r="24" customFormat="false" ht="15" hidden="false" customHeight="false" outlineLevel="0" collapsed="false">
      <c r="A24" s="9" t="s">
        <v>24</v>
      </c>
      <c r="B24" s="3" t="s">
        <v>25</v>
      </c>
    </row>
    <row r="25" customFormat="false" ht="15" hidden="false" customHeight="false" outlineLevel="0" collapsed="false">
      <c r="A25" s="9" t="s">
        <v>26</v>
      </c>
      <c r="B25" s="3" t="s">
        <v>27</v>
      </c>
    </row>
    <row r="26" customFormat="false" ht="15" hidden="false" customHeight="false" outlineLevel="0" collapsed="false">
      <c r="A26" s="9" t="s">
        <v>28</v>
      </c>
      <c r="B26" s="3" t="s">
        <v>29</v>
      </c>
    </row>
    <row r="27" customFormat="false" ht="15" hidden="false" customHeight="false" outlineLevel="0" collapsed="false">
      <c r="A27" s="9" t="s">
        <v>30</v>
      </c>
      <c r="B27" s="3" t="s">
        <v>31</v>
      </c>
    </row>
    <row r="28" customFormat="false" ht="15" hidden="false" customHeight="false" outlineLevel="0" collapsed="false">
      <c r="A28" s="9" t="s">
        <v>32</v>
      </c>
      <c r="B28" s="3" t="s">
        <v>33</v>
      </c>
    </row>
    <row r="29" customFormat="false" ht="15" hidden="false" customHeight="false" outlineLevel="0" collapsed="false">
      <c r="A29" s="9" t="s">
        <v>34</v>
      </c>
      <c r="B29" s="3" t="s">
        <v>35</v>
      </c>
    </row>
    <row r="30" customFormat="false" ht="15" hidden="false" customHeight="false" outlineLevel="0" collapsed="false">
      <c r="A30" s="9" t="s">
        <v>36</v>
      </c>
      <c r="B30" s="3" t="s">
        <v>37</v>
      </c>
    </row>
    <row r="31" customFormat="false" ht="15" hidden="false" customHeight="false" outlineLevel="0" collapsed="false">
      <c r="A31" s="9" t="s">
        <v>38</v>
      </c>
      <c r="B31" s="3" t="s">
        <v>39</v>
      </c>
    </row>
    <row r="32" customFormat="false" ht="15" hidden="false" customHeight="false" outlineLevel="0" collapsed="false">
      <c r="A32" s="9" t="s">
        <v>40</v>
      </c>
      <c r="B32" s="3" t="s">
        <v>41</v>
      </c>
    </row>
    <row r="33" customFormat="false" ht="15" hidden="false" customHeight="false" outlineLevel="0" collapsed="false">
      <c r="A33" s="9" t="s">
        <v>42</v>
      </c>
      <c r="B33" s="3" t="s">
        <v>43</v>
      </c>
    </row>
    <row r="35" customFormat="false" ht="15" hidden="false" customHeight="false" outlineLevel="0" collapsed="false">
      <c r="A35" s="4" t="s">
        <v>44</v>
      </c>
    </row>
    <row r="36" customFormat="false" ht="15" hidden="false" customHeight="false" outlineLevel="0" collapsed="false">
      <c r="A36" s="10"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8"/>
    <col collapsed="false" customWidth="true" hidden="false" outlineLevel="0" max="6" min="3" style="1" width="12"/>
    <col collapsed="false" customWidth="true" hidden="false" outlineLevel="0" max="7" min="7" style="1" width="20"/>
    <col collapsed="false" customWidth="true" hidden="false" outlineLevel="0" max="8" min="8" style="1" width="90"/>
    <col collapsed="false" customWidth="true" hidden="false" outlineLevel="0" max="9" min="9" style="1" width="14"/>
  </cols>
  <sheetData>
    <row r="1" customFormat="false" ht="17.35" hidden="false" customHeight="false" outlineLevel="0" collapsed="false">
      <c r="A1" s="11" t="s">
        <v>18</v>
      </c>
    </row>
    <row r="2" customFormat="false" ht="15" hidden="false" customHeight="false" outlineLevel="0" collapsed="false">
      <c r="A2" s="4" t="s">
        <v>46</v>
      </c>
    </row>
    <row r="3" customFormat="false" ht="15" hidden="false" customHeight="false" outlineLevel="0" collapsed="false">
      <c r="A3" s="9" t="s">
        <v>47</v>
      </c>
      <c r="C3" s="12" t="n">
        <v>2</v>
      </c>
      <c r="D3" s="9" t="str">
        <f aca="false">CHOOSE(Scenario,"Low","Medium","High")</f>
        <v>Medium</v>
      </c>
      <c r="E3" s="4" t="s">
        <v>48</v>
      </c>
    </row>
    <row r="4" customFormat="false" ht="15" hidden="false" customHeight="false" outlineLevel="0" collapsed="false">
      <c r="A4" s="9" t="s">
        <v>49</v>
      </c>
      <c r="C4" s="12" t="n">
        <v>1</v>
      </c>
      <c r="D4" s="9" t="str">
        <f aca="false">CHOOSE(DutyScenario,"Copper","Fiber","Stress")</f>
        <v>Copper</v>
      </c>
      <c r="E4" s="4" t="s">
        <v>50</v>
      </c>
    </row>
    <row r="5" customFormat="false" ht="15" hidden="false" customHeight="false" outlineLevel="0" collapsed="false">
      <c r="A5" s="9" t="s">
        <v>51</v>
      </c>
      <c r="C5" s="13" t="n">
        <v>1430</v>
      </c>
      <c r="D5" s="3" t="str">
        <f aca="false">"FX "&amp;TEXT(FXRate,"#,##0")&amp;" KRW per USD"</f>
        <v>FX 1,430 KRW per USD</v>
      </c>
    </row>
    <row r="7" customFormat="false" ht="15" hidden="false" customHeight="false" outlineLevel="0" collapsed="false">
      <c r="A7" s="14" t="s">
        <v>52</v>
      </c>
      <c r="B7" s="14" t="s">
        <v>53</v>
      </c>
      <c r="C7" s="14" t="s">
        <v>54</v>
      </c>
      <c r="D7" s="14" t="s">
        <v>55</v>
      </c>
      <c r="E7" s="14" t="s">
        <v>56</v>
      </c>
      <c r="F7" s="14" t="s">
        <v>57</v>
      </c>
      <c r="G7" s="14" t="s">
        <v>58</v>
      </c>
      <c r="H7" s="14" t="s">
        <v>59</v>
      </c>
    </row>
    <row r="9" customFormat="false" ht="15" hidden="false" customHeight="false" outlineLevel="0" collapsed="false">
      <c r="A9" s="5" t="s">
        <v>60</v>
      </c>
      <c r="B9" s="15"/>
      <c r="C9" s="15"/>
      <c r="D9" s="15"/>
      <c r="E9" s="15"/>
      <c r="F9" s="15"/>
      <c r="G9" s="15"/>
      <c r="H9" s="15"/>
    </row>
    <row r="10" customFormat="false" ht="15" hidden="false" customHeight="false" outlineLevel="0" collapsed="false">
      <c r="A10" s="3" t="s">
        <v>61</v>
      </c>
      <c r="B10" s="3" t="s">
        <v>62</v>
      </c>
      <c r="C10" s="16" t="n">
        <v>38</v>
      </c>
      <c r="D10" s="16" t="n">
        <v>42</v>
      </c>
      <c r="E10" s="16" t="n">
        <v>43</v>
      </c>
      <c r="F10" s="17" t="n">
        <f aca="false">INDEX($C10:$E10,1,Scenario)</f>
        <v>42</v>
      </c>
      <c r="G10" s="3" t="s">
        <v>63</v>
      </c>
      <c r="H10" s="3" t="s">
        <v>64</v>
      </c>
    </row>
    <row r="11" customFormat="false" ht="15" hidden="false" customHeight="false" outlineLevel="0" collapsed="false">
      <c r="A11" s="3" t="s">
        <v>65</v>
      </c>
      <c r="B11" s="3" t="s">
        <v>66</v>
      </c>
      <c r="C11" s="18" t="n">
        <v>0.43</v>
      </c>
      <c r="D11" s="18" t="n">
        <v>0.38</v>
      </c>
      <c r="E11" s="18" t="n">
        <v>0.32</v>
      </c>
      <c r="F11" s="19" t="n">
        <f aca="false">INDEX($C11:$E11,1,Scenario)</f>
        <v>0.38</v>
      </c>
      <c r="G11" s="3" t="s">
        <v>63</v>
      </c>
      <c r="H11" s="3" t="s">
        <v>67</v>
      </c>
    </row>
    <row r="12" customFormat="false" ht="15" hidden="false" customHeight="false" outlineLevel="0" collapsed="false">
      <c r="A12" s="3" t="s">
        <v>68</v>
      </c>
      <c r="B12" s="3" t="s">
        <v>66</v>
      </c>
      <c r="C12" s="18" t="n">
        <v>0.04</v>
      </c>
      <c r="D12" s="18" t="n">
        <v>0.03</v>
      </c>
      <c r="E12" s="18" t="n">
        <v>0.025</v>
      </c>
      <c r="F12" s="19" t="n">
        <f aca="false">INDEX($C12:$E12,1,Scenario)</f>
        <v>0.03</v>
      </c>
      <c r="G12" s="3" t="s">
        <v>63</v>
      </c>
      <c r="H12" s="3" t="s">
        <v>69</v>
      </c>
    </row>
    <row r="13" customFormat="false" ht="15" hidden="false" customHeight="false" outlineLevel="0" collapsed="false">
      <c r="A13" s="3" t="s">
        <v>70</v>
      </c>
      <c r="B13" s="3" t="s">
        <v>66</v>
      </c>
      <c r="C13" s="18" t="n">
        <v>0.37</v>
      </c>
      <c r="D13" s="18" t="n">
        <v>0.3</v>
      </c>
      <c r="E13" s="18" t="n">
        <v>0.26</v>
      </c>
      <c r="F13" s="19" t="n">
        <f aca="false">INDEX($C13:$E13,1,Scenario)</f>
        <v>0.3</v>
      </c>
      <c r="G13" s="3" t="s">
        <v>63</v>
      </c>
      <c r="H13" s="3" t="s">
        <v>71</v>
      </c>
    </row>
    <row r="14" customFormat="false" ht="15" hidden="false" customHeight="false" outlineLevel="0" collapsed="false">
      <c r="A14" s="3" t="s">
        <v>72</v>
      </c>
      <c r="B14" s="3" t="s">
        <v>66</v>
      </c>
      <c r="C14" s="18" t="n">
        <v>0.29</v>
      </c>
      <c r="D14" s="18" t="n">
        <v>0.22</v>
      </c>
      <c r="E14" s="18" t="n">
        <v>0.18</v>
      </c>
      <c r="F14" s="19" t="n">
        <f aca="false">INDEX($C14:$E14,1,Scenario)</f>
        <v>0.22</v>
      </c>
      <c r="G14" s="3" t="s">
        <v>63</v>
      </c>
      <c r="H14" s="3"/>
    </row>
    <row r="15" customFormat="false" ht="15" hidden="false" customHeight="false" outlineLevel="0" collapsed="false">
      <c r="A15" s="3" t="s">
        <v>73</v>
      </c>
      <c r="B15" s="3" t="s">
        <v>66</v>
      </c>
      <c r="C15" s="18" t="n">
        <v>0.22</v>
      </c>
      <c r="D15" s="18" t="n">
        <v>0.15</v>
      </c>
      <c r="E15" s="18" t="n">
        <v>0.11</v>
      </c>
      <c r="F15" s="19" t="n">
        <f aca="false">INDEX($C15:$E15,1,Scenario)</f>
        <v>0.15</v>
      </c>
      <c r="G15" s="3" t="s">
        <v>63</v>
      </c>
      <c r="H15" s="3"/>
    </row>
    <row r="16" customFormat="false" ht="15" hidden="false" customHeight="false" outlineLevel="0" collapsed="false">
      <c r="A16" s="3" t="s">
        <v>74</v>
      </c>
      <c r="B16" s="3" t="s">
        <v>66</v>
      </c>
      <c r="C16" s="18" t="n">
        <v>0.18</v>
      </c>
      <c r="D16" s="18" t="n">
        <v>0.11</v>
      </c>
      <c r="E16" s="18" t="n">
        <v>0.08</v>
      </c>
      <c r="F16" s="19" t="n">
        <f aca="false">INDEX($C16:$E16,1,Scenario)</f>
        <v>0.11</v>
      </c>
      <c r="G16" s="3" t="s">
        <v>63</v>
      </c>
      <c r="H16" s="3" t="s">
        <v>75</v>
      </c>
    </row>
    <row r="17" customFormat="false" ht="15" hidden="false" customHeight="false" outlineLevel="0" collapsed="false">
      <c r="A17" s="3" t="s">
        <v>76</v>
      </c>
      <c r="B17" s="3" t="s">
        <v>62</v>
      </c>
      <c r="C17" s="16" t="n">
        <v>850</v>
      </c>
      <c r="D17" s="16" t="n">
        <v>850</v>
      </c>
      <c r="E17" s="16" t="n">
        <v>850</v>
      </c>
      <c r="F17" s="17" t="n">
        <f aca="false">INDEX($C17:$E17,1,Scenario)</f>
        <v>850</v>
      </c>
      <c r="G17" s="3" t="s">
        <v>63</v>
      </c>
      <c r="H17" s="3" t="s">
        <v>77</v>
      </c>
    </row>
    <row r="18" customFormat="false" ht="15" hidden="false" customHeight="false" outlineLevel="0" collapsed="false">
      <c r="A18" s="3" t="s">
        <v>78</v>
      </c>
      <c r="B18" s="3" t="s">
        <v>79</v>
      </c>
      <c r="C18" s="20" t="n">
        <v>0.6</v>
      </c>
      <c r="D18" s="20" t="n">
        <v>1</v>
      </c>
      <c r="E18" s="20" t="n">
        <v>1.55</v>
      </c>
      <c r="F18" s="21" t="n">
        <f aca="false">INDEX($C18:$E18,1,Scenario)</f>
        <v>1</v>
      </c>
      <c r="G18" s="3" t="s">
        <v>80</v>
      </c>
      <c r="H18" s="3" t="s">
        <v>81</v>
      </c>
    </row>
    <row r="19" customFormat="false" ht="15" hidden="false" customHeight="false" outlineLevel="0" collapsed="false">
      <c r="A19" s="3" t="s">
        <v>82</v>
      </c>
      <c r="B19" s="3" t="s">
        <v>66</v>
      </c>
      <c r="C19" s="18" t="n">
        <v>0.15</v>
      </c>
      <c r="D19" s="18" t="n">
        <v>0.15</v>
      </c>
      <c r="E19" s="18" t="n">
        <v>0.15</v>
      </c>
      <c r="F19" s="19" t="n">
        <f aca="false">INDEX($C19:$E19,1,Scenario)</f>
        <v>0.15</v>
      </c>
      <c r="G19" s="3" t="s">
        <v>63</v>
      </c>
      <c r="H19" s="3" t="s">
        <v>83</v>
      </c>
    </row>
    <row r="20" customFormat="false" ht="15" hidden="false" customHeight="false" outlineLevel="0" collapsed="false">
      <c r="A20" s="3" t="s">
        <v>84</v>
      </c>
      <c r="B20" s="3" t="s">
        <v>62</v>
      </c>
      <c r="C20" s="16" t="n">
        <v>5.5</v>
      </c>
      <c r="D20" s="16" t="n">
        <v>5.5</v>
      </c>
      <c r="E20" s="16" t="n">
        <v>5.5</v>
      </c>
      <c r="F20" s="17" t="n">
        <f aca="false">INDEX($C20:$E20,1,Scenario)</f>
        <v>5.5</v>
      </c>
      <c r="G20" s="3" t="s">
        <v>63</v>
      </c>
      <c r="H20" s="3" t="s">
        <v>83</v>
      </c>
    </row>
    <row r="21" customFormat="false" ht="15" hidden="false" customHeight="false" outlineLevel="0" collapsed="false">
      <c r="A21" s="3" t="s">
        <v>85</v>
      </c>
      <c r="B21" s="3" t="s">
        <v>66</v>
      </c>
      <c r="C21" s="18" t="n">
        <v>0.02</v>
      </c>
      <c r="D21" s="18" t="n">
        <v>0.02</v>
      </c>
      <c r="E21" s="18" t="n">
        <v>0.02</v>
      </c>
      <c r="F21" s="19" t="n">
        <f aca="false">INDEX($C21:$E21,1,Scenario)</f>
        <v>0.02</v>
      </c>
      <c r="G21" s="3" t="s">
        <v>63</v>
      </c>
      <c r="H21" s="3" t="s">
        <v>83</v>
      </c>
    </row>
    <row r="22" customFormat="false" ht="15" hidden="false" customHeight="false" outlineLevel="0" collapsed="false">
      <c r="A22" s="3" t="s">
        <v>86</v>
      </c>
      <c r="B22" s="3" t="s">
        <v>62</v>
      </c>
      <c r="C22" s="16" t="n">
        <v>39.99</v>
      </c>
      <c r="D22" s="16" t="n">
        <v>39.99</v>
      </c>
      <c r="E22" s="16" t="n">
        <v>39.99</v>
      </c>
      <c r="F22" s="17" t="n">
        <f aca="false">INDEX($C22:$E22,1,Scenario)</f>
        <v>39.99</v>
      </c>
      <c r="G22" s="3" t="s">
        <v>63</v>
      </c>
      <c r="H22" s="3" t="s">
        <v>83</v>
      </c>
    </row>
    <row r="23" customFormat="false" ht="15" hidden="false" customHeight="false" outlineLevel="0" collapsed="false">
      <c r="A23" s="3" t="s">
        <v>87</v>
      </c>
      <c r="B23" s="3" t="s">
        <v>62</v>
      </c>
      <c r="C23" s="16" t="n">
        <v>9500</v>
      </c>
      <c r="D23" s="16" t="n">
        <v>9500</v>
      </c>
      <c r="E23" s="16" t="n">
        <v>9500</v>
      </c>
      <c r="F23" s="17" t="n">
        <f aca="false">INDEX($C23:$E23,1,Scenario)</f>
        <v>9500</v>
      </c>
      <c r="G23" s="3" t="s">
        <v>63</v>
      </c>
      <c r="H23" s="3" t="s">
        <v>83</v>
      </c>
    </row>
    <row r="25" customFormat="false" ht="15" hidden="false" customHeight="false" outlineLevel="0" collapsed="false">
      <c r="A25" s="5" t="s">
        <v>88</v>
      </c>
      <c r="B25" s="15"/>
      <c r="C25" s="15"/>
      <c r="D25" s="15"/>
      <c r="E25" s="15"/>
      <c r="F25" s="15"/>
      <c r="G25" s="15"/>
      <c r="H25" s="15"/>
    </row>
    <row r="26" customFormat="false" ht="15" hidden="false" customHeight="false" outlineLevel="0" collapsed="false">
      <c r="A26" s="3" t="s">
        <v>89</v>
      </c>
      <c r="B26" s="3" t="s">
        <v>90</v>
      </c>
      <c r="C26" s="12" t="n">
        <v>19</v>
      </c>
      <c r="D26" s="12" t="n">
        <v>19</v>
      </c>
      <c r="E26" s="12" t="n">
        <v>19</v>
      </c>
      <c r="F26" s="22" t="n">
        <f aca="false">INDEX($C26:$E26,1,Scenario)</f>
        <v>19</v>
      </c>
      <c r="G26" s="3" t="s">
        <v>63</v>
      </c>
      <c r="H26" s="3" t="s">
        <v>91</v>
      </c>
    </row>
    <row r="27" customFormat="false" ht="15" hidden="false" customHeight="false" outlineLevel="0" collapsed="false">
      <c r="A27" s="3" t="s">
        <v>92</v>
      </c>
      <c r="B27" s="3" t="s">
        <v>66</v>
      </c>
      <c r="C27" s="18" t="n">
        <v>0.18</v>
      </c>
      <c r="D27" s="18" t="n">
        <v>0.11</v>
      </c>
      <c r="E27" s="18" t="n">
        <v>0.095</v>
      </c>
      <c r="F27" s="19" t="n">
        <f aca="false">INDEX($C27:$E27,1,Scenario)</f>
        <v>0.11</v>
      </c>
      <c r="G27" s="3" t="s">
        <v>80</v>
      </c>
      <c r="H27" s="3" t="s">
        <v>93</v>
      </c>
    </row>
    <row r="28" customFormat="false" ht="15" hidden="false" customHeight="false" outlineLevel="0" collapsed="false">
      <c r="A28" s="3" t="s">
        <v>94</v>
      </c>
      <c r="B28" s="3" t="s">
        <v>95</v>
      </c>
      <c r="C28" s="23" t="n">
        <v>0</v>
      </c>
      <c r="D28" s="23" t="n">
        <v>100</v>
      </c>
      <c r="E28" s="23" t="n">
        <v>160</v>
      </c>
      <c r="F28" s="24" t="n">
        <f aca="false">INDEX($C28:$E28,1,Scenario)</f>
        <v>100</v>
      </c>
      <c r="G28" s="3" t="s">
        <v>80</v>
      </c>
      <c r="H28" s="3" t="s">
        <v>96</v>
      </c>
    </row>
    <row r="29" customFormat="false" ht="15" hidden="false" customHeight="false" outlineLevel="0" collapsed="false">
      <c r="A29" s="3" t="s">
        <v>97</v>
      </c>
      <c r="B29" s="3" t="s">
        <v>79</v>
      </c>
      <c r="C29" s="20" t="n">
        <v>0.1</v>
      </c>
      <c r="D29" s="20" t="n">
        <v>1</v>
      </c>
      <c r="E29" s="20" t="n">
        <v>1</v>
      </c>
      <c r="F29" s="21" t="n">
        <f aca="false">INDEX($C29:$E29,1,Scenario)</f>
        <v>1</v>
      </c>
      <c r="G29" s="3" t="s">
        <v>80</v>
      </c>
      <c r="H29" s="3" t="s">
        <v>98</v>
      </c>
    </row>
    <row r="30" customFormat="false" ht="15" hidden="false" customHeight="false" outlineLevel="0" collapsed="false">
      <c r="A30" s="3" t="s">
        <v>99</v>
      </c>
      <c r="B30" s="3" t="s">
        <v>90</v>
      </c>
      <c r="C30" s="12" t="n">
        <v>19</v>
      </c>
      <c r="D30" s="12" t="n">
        <v>99</v>
      </c>
      <c r="E30" s="12" t="n">
        <v>99</v>
      </c>
      <c r="F30" s="22" t="n">
        <f aca="false">INDEX($C30:$E30,1,Scenario)</f>
        <v>99</v>
      </c>
      <c r="G30" s="3" t="s">
        <v>80</v>
      </c>
      <c r="H30" s="3" t="s">
        <v>100</v>
      </c>
    </row>
    <row r="31" customFormat="false" ht="15" hidden="false" customHeight="false" outlineLevel="0" collapsed="false">
      <c r="A31" s="3" t="s">
        <v>101</v>
      </c>
      <c r="B31" s="3" t="s">
        <v>66</v>
      </c>
      <c r="C31" s="18" t="n">
        <v>0.04</v>
      </c>
      <c r="D31" s="18" t="n">
        <v>0.025</v>
      </c>
      <c r="E31" s="18" t="n">
        <v>0.02</v>
      </c>
      <c r="F31" s="19" t="n">
        <f aca="false">INDEX($C31:$E31,1,Scenario)</f>
        <v>0.025</v>
      </c>
      <c r="G31" s="3" t="s">
        <v>80</v>
      </c>
      <c r="H31" s="3" t="s">
        <v>102</v>
      </c>
    </row>
    <row r="32" customFormat="false" ht="15" hidden="false" customHeight="false" outlineLevel="0" collapsed="false">
      <c r="A32" s="3" t="s">
        <v>103</v>
      </c>
      <c r="B32" s="3" t="s">
        <v>66</v>
      </c>
      <c r="C32" s="18" t="n">
        <v>0.03</v>
      </c>
      <c r="D32" s="18" t="n">
        <v>0.03</v>
      </c>
      <c r="E32" s="18" t="n">
        <v>0.03</v>
      </c>
      <c r="F32" s="19" t="n">
        <f aca="false">INDEX($C32:$E32,1,Scenario)</f>
        <v>0.03</v>
      </c>
      <c r="G32" s="3" t="s">
        <v>80</v>
      </c>
      <c r="H32" s="3"/>
    </row>
    <row r="33" customFormat="false" ht="15" hidden="false" customHeight="false" outlineLevel="0" collapsed="false">
      <c r="A33" s="3" t="s">
        <v>104</v>
      </c>
      <c r="B33" s="3" t="s">
        <v>105</v>
      </c>
      <c r="C33" s="18" t="n">
        <v>0</v>
      </c>
      <c r="D33" s="18" t="n">
        <v>-0.015</v>
      </c>
      <c r="E33" s="18" t="n">
        <v>-0.01</v>
      </c>
      <c r="F33" s="19" t="n">
        <f aca="false">INDEX($C33:$E33,1,Scenario)</f>
        <v>-0.015</v>
      </c>
      <c r="G33" s="3" t="s">
        <v>80</v>
      </c>
      <c r="H33" s="3" t="s">
        <v>106</v>
      </c>
    </row>
    <row r="34" customFormat="false" ht="15" hidden="false" customHeight="false" outlineLevel="0" collapsed="false">
      <c r="A34" s="3" t="s">
        <v>107</v>
      </c>
      <c r="B34" s="3" t="s">
        <v>105</v>
      </c>
      <c r="C34" s="18" t="n">
        <v>0</v>
      </c>
      <c r="D34" s="18" t="n">
        <v>-0.015</v>
      </c>
      <c r="E34" s="18" t="n">
        <v>-0.015</v>
      </c>
      <c r="F34" s="19" t="n">
        <f aca="false">INDEX($C34:$E34,1,Scenario)</f>
        <v>-0.015</v>
      </c>
      <c r="G34" s="3" t="s">
        <v>80</v>
      </c>
      <c r="H34" s="3" t="s">
        <v>108</v>
      </c>
    </row>
    <row r="35" customFormat="false" ht="15" hidden="false" customHeight="false" outlineLevel="0" collapsed="false">
      <c r="A35" s="3" t="s">
        <v>109</v>
      </c>
      <c r="B35" s="3" t="s">
        <v>105</v>
      </c>
      <c r="C35" s="18" t="n">
        <v>0</v>
      </c>
      <c r="D35" s="18" t="n">
        <v>-0.01</v>
      </c>
      <c r="E35" s="18" t="n">
        <v>-0.01</v>
      </c>
      <c r="F35" s="19" t="n">
        <f aca="false">INDEX($C35:$E35,1,Scenario)</f>
        <v>-0.01</v>
      </c>
      <c r="G35" s="3" t="s">
        <v>80</v>
      </c>
      <c r="H35" s="3" t="s">
        <v>110</v>
      </c>
    </row>
    <row r="36" customFormat="false" ht="15" hidden="false" customHeight="false" outlineLevel="0" collapsed="false">
      <c r="A36" s="3" t="s">
        <v>111</v>
      </c>
      <c r="B36" s="3" t="s">
        <v>105</v>
      </c>
      <c r="C36" s="18" t="n">
        <v>0</v>
      </c>
      <c r="D36" s="18" t="n">
        <v>-0.005</v>
      </c>
      <c r="E36" s="18" t="n">
        <v>0</v>
      </c>
      <c r="F36" s="19" t="n">
        <f aca="false">INDEX($C36:$E36,1,Scenario)</f>
        <v>-0.005</v>
      </c>
      <c r="G36" s="3" t="s">
        <v>80</v>
      </c>
      <c r="H36" s="3" t="s">
        <v>112</v>
      </c>
    </row>
    <row r="37" customFormat="false" ht="15" hidden="false" customHeight="false" outlineLevel="0" collapsed="false">
      <c r="A37" s="3" t="s">
        <v>113</v>
      </c>
      <c r="B37" s="3" t="s">
        <v>66</v>
      </c>
      <c r="C37" s="18" t="n">
        <v>0.1</v>
      </c>
      <c r="D37" s="18" t="n">
        <v>0.3</v>
      </c>
      <c r="E37" s="18" t="n">
        <v>0.35</v>
      </c>
      <c r="F37" s="19" t="n">
        <f aca="false">INDEX($C37:$E37,1,Scenario)</f>
        <v>0.3</v>
      </c>
      <c r="G37" s="3" t="s">
        <v>80</v>
      </c>
      <c r="H37" s="3" t="s">
        <v>114</v>
      </c>
    </row>
    <row r="38" customFormat="false" ht="15" hidden="false" customHeight="false" outlineLevel="0" collapsed="false">
      <c r="A38" s="3" t="s">
        <v>115</v>
      </c>
      <c r="B38" s="3" t="s">
        <v>66</v>
      </c>
      <c r="C38" s="18" t="n">
        <v>0.08</v>
      </c>
      <c r="D38" s="18" t="n">
        <v>0.2</v>
      </c>
      <c r="E38" s="18" t="n">
        <v>0.25</v>
      </c>
      <c r="F38" s="19" t="n">
        <f aca="false">INDEX($C38:$E38,1,Scenario)</f>
        <v>0.2</v>
      </c>
      <c r="G38" s="3" t="s">
        <v>80</v>
      </c>
      <c r="H38" s="3" t="s">
        <v>116</v>
      </c>
    </row>
    <row r="39" customFormat="false" ht="15" hidden="false" customHeight="false" outlineLevel="0" collapsed="false">
      <c r="A39" s="3" t="s">
        <v>117</v>
      </c>
      <c r="B39" s="3" t="s">
        <v>66</v>
      </c>
      <c r="C39" s="18" t="n">
        <v>0.05</v>
      </c>
      <c r="D39" s="18" t="n">
        <v>0.12</v>
      </c>
      <c r="E39" s="18" t="n">
        <v>0.15</v>
      </c>
      <c r="F39" s="19" t="n">
        <f aca="false">INDEX($C39:$E39,1,Scenario)</f>
        <v>0.12</v>
      </c>
      <c r="G39" s="3" t="s">
        <v>80</v>
      </c>
      <c r="H39" s="3" t="s">
        <v>116</v>
      </c>
    </row>
    <row r="40" customFormat="false" ht="15" hidden="false" customHeight="false" outlineLevel="0" collapsed="false">
      <c r="A40" s="3" t="s">
        <v>118</v>
      </c>
      <c r="B40" s="3" t="s">
        <v>66</v>
      </c>
      <c r="C40" s="18" t="n">
        <v>-0.04</v>
      </c>
      <c r="D40" s="18" t="n">
        <v>-0.04</v>
      </c>
      <c r="E40" s="18" t="n">
        <v>-0.03</v>
      </c>
      <c r="F40" s="19" t="n">
        <f aca="false">INDEX($C40:$E40,1,Scenario)</f>
        <v>-0.04</v>
      </c>
      <c r="G40" s="3" t="s">
        <v>80</v>
      </c>
      <c r="H40" s="3" t="s">
        <v>119</v>
      </c>
    </row>
    <row r="41" customFormat="false" ht="15" hidden="false" customHeight="false" outlineLevel="0" collapsed="false">
      <c r="A41" s="3" t="s">
        <v>120</v>
      </c>
      <c r="B41" s="3" t="s">
        <v>66</v>
      </c>
      <c r="C41" s="18" t="n">
        <v>0</v>
      </c>
      <c r="D41" s="18" t="n">
        <v>0.03</v>
      </c>
      <c r="E41" s="18" t="n">
        <v>0.03</v>
      </c>
      <c r="F41" s="19" t="n">
        <f aca="false">INDEX($C41:$E41,1,Scenario)</f>
        <v>0.03</v>
      </c>
      <c r="G41" s="3" t="s">
        <v>80</v>
      </c>
      <c r="H41" s="3" t="s">
        <v>121</v>
      </c>
    </row>
    <row r="42" customFormat="false" ht="15" hidden="false" customHeight="false" outlineLevel="0" collapsed="false">
      <c r="A42" s="3" t="s">
        <v>122</v>
      </c>
      <c r="B42" s="3" t="s">
        <v>66</v>
      </c>
      <c r="C42" s="18" t="n">
        <v>0.13</v>
      </c>
      <c r="D42" s="18" t="n">
        <v>0.115</v>
      </c>
      <c r="E42" s="18" t="n">
        <v>0.095</v>
      </c>
      <c r="F42" s="19" t="n">
        <f aca="false">INDEX($C42:$E42,1,Scenario)</f>
        <v>0.115</v>
      </c>
      <c r="G42" s="3" t="s">
        <v>80</v>
      </c>
      <c r="H42" s="3" t="s">
        <v>123</v>
      </c>
    </row>
    <row r="43" customFormat="false" ht="15" hidden="false" customHeight="false" outlineLevel="0" collapsed="false">
      <c r="A43" s="3" t="s">
        <v>124</v>
      </c>
      <c r="B43" s="3" t="s">
        <v>66</v>
      </c>
      <c r="C43" s="18" t="n">
        <v>0.135</v>
      </c>
      <c r="D43" s="18" t="n">
        <v>0.115</v>
      </c>
      <c r="E43" s="18" t="n">
        <v>0.095</v>
      </c>
      <c r="F43" s="19" t="n">
        <f aca="false">INDEX($C43:$E43,1,Scenario)</f>
        <v>0.115</v>
      </c>
      <c r="G43" s="3" t="s">
        <v>80</v>
      </c>
      <c r="H43" s="3" t="s">
        <v>125</v>
      </c>
    </row>
    <row r="44" customFormat="false" ht="15" hidden="false" customHeight="false" outlineLevel="0" collapsed="false">
      <c r="A44" s="3" t="s">
        <v>126</v>
      </c>
      <c r="B44" s="3" t="s">
        <v>66</v>
      </c>
      <c r="C44" s="18" t="n">
        <v>0.165</v>
      </c>
      <c r="D44" s="18" t="n">
        <v>0.115</v>
      </c>
      <c r="E44" s="18" t="n">
        <v>0.095</v>
      </c>
      <c r="F44" s="19" t="n">
        <f aca="false">INDEX($C44:$E44,1,Scenario)</f>
        <v>0.115</v>
      </c>
      <c r="G44" s="3" t="s">
        <v>80</v>
      </c>
      <c r="H44" s="3" t="s">
        <v>127</v>
      </c>
    </row>
    <row r="45" customFormat="false" ht="15" hidden="false" customHeight="false" outlineLevel="0" collapsed="false">
      <c r="A45" s="3" t="s">
        <v>128</v>
      </c>
      <c r="B45" s="3" t="s">
        <v>62</v>
      </c>
      <c r="C45" s="16" t="n">
        <v>1200</v>
      </c>
      <c r="D45" s="16" t="n">
        <v>1500</v>
      </c>
      <c r="E45" s="16" t="n">
        <v>1950</v>
      </c>
      <c r="F45" s="17" t="n">
        <f aca="false">INDEX($C45:$E45,1,Scenario)</f>
        <v>1500</v>
      </c>
      <c r="G45" s="3" t="s">
        <v>80</v>
      </c>
      <c r="H45" s="3" t="s">
        <v>129</v>
      </c>
    </row>
    <row r="46" customFormat="false" ht="15" hidden="false" customHeight="false" outlineLevel="0" collapsed="false">
      <c r="A46" s="3" t="s">
        <v>130</v>
      </c>
      <c r="B46" s="3" t="s">
        <v>62</v>
      </c>
      <c r="C46" s="16" t="n">
        <v>1200</v>
      </c>
      <c r="D46" s="16" t="n">
        <v>4000</v>
      </c>
      <c r="E46" s="16" t="n">
        <v>5200</v>
      </c>
      <c r="F46" s="17" t="n">
        <f aca="false">INDEX($C46:$E46,1,Scenario)</f>
        <v>4000</v>
      </c>
      <c r="G46" s="3" t="s">
        <v>80</v>
      </c>
      <c r="H46" s="3" t="s">
        <v>131</v>
      </c>
    </row>
    <row r="47" customFormat="false" ht="15" hidden="false" customHeight="false" outlineLevel="0" collapsed="false">
      <c r="A47" s="3" t="s">
        <v>132</v>
      </c>
      <c r="B47" s="3" t="s">
        <v>62</v>
      </c>
      <c r="C47" s="16" t="n">
        <v>1200</v>
      </c>
      <c r="D47" s="16" t="n">
        <v>7000</v>
      </c>
      <c r="E47" s="16" t="n">
        <v>9100</v>
      </c>
      <c r="F47" s="17" t="n">
        <f aca="false">INDEX($C47:$E47,1,Scenario)</f>
        <v>7000</v>
      </c>
      <c r="G47" s="3" t="s">
        <v>80</v>
      </c>
      <c r="H47" s="3"/>
    </row>
    <row r="48" customFormat="false" ht="15" hidden="false" customHeight="false" outlineLevel="0" collapsed="false">
      <c r="A48" s="3" t="s">
        <v>133</v>
      </c>
      <c r="B48" s="3" t="s">
        <v>62</v>
      </c>
      <c r="C48" s="16" t="n">
        <v>1200</v>
      </c>
      <c r="D48" s="16" t="n">
        <v>10000</v>
      </c>
      <c r="E48" s="16" t="n">
        <v>13000</v>
      </c>
      <c r="F48" s="17" t="n">
        <f aca="false">INDEX($C48:$E48,1,Scenario)</f>
        <v>10000</v>
      </c>
      <c r="G48" s="3" t="s">
        <v>80</v>
      </c>
      <c r="H48" s="3"/>
    </row>
    <row r="49" customFormat="false" ht="15" hidden="false" customHeight="false" outlineLevel="0" collapsed="false">
      <c r="A49" s="3" t="s">
        <v>134</v>
      </c>
      <c r="B49" s="3" t="s">
        <v>66</v>
      </c>
      <c r="C49" s="18" t="n">
        <v>0.08</v>
      </c>
      <c r="D49" s="18" t="n">
        <v>0.08</v>
      </c>
      <c r="E49" s="18" t="n">
        <v>0.08</v>
      </c>
      <c r="F49" s="19" t="n">
        <f aca="false">INDEX($C49:$E49,1,Scenario)</f>
        <v>0.08</v>
      </c>
      <c r="G49" s="3" t="s">
        <v>80</v>
      </c>
      <c r="H49" s="3"/>
    </row>
    <row r="50" customFormat="false" ht="15" hidden="false" customHeight="false" outlineLevel="0" collapsed="false">
      <c r="A50" s="3" t="s">
        <v>135</v>
      </c>
      <c r="B50" s="3" t="s">
        <v>66</v>
      </c>
      <c r="C50" s="18" t="n">
        <v>0.08</v>
      </c>
      <c r="D50" s="18" t="n">
        <v>0.1</v>
      </c>
      <c r="E50" s="18" t="n">
        <v>0.1</v>
      </c>
      <c r="F50" s="19" t="n">
        <f aca="false">INDEX($C50:$E50,1,Scenario)</f>
        <v>0.1</v>
      </c>
      <c r="G50" s="3" t="s">
        <v>80</v>
      </c>
      <c r="H50" s="3"/>
    </row>
    <row r="51" customFormat="false" ht="15" hidden="false" customHeight="false" outlineLevel="0" collapsed="false">
      <c r="A51" s="3" t="s">
        <v>136</v>
      </c>
      <c r="B51" s="3" t="s">
        <v>66</v>
      </c>
      <c r="C51" s="18" t="n">
        <v>0.08</v>
      </c>
      <c r="D51" s="18" t="n">
        <v>0.12</v>
      </c>
      <c r="E51" s="18" t="n">
        <v>0.12</v>
      </c>
      <c r="F51" s="19" t="n">
        <f aca="false">INDEX($C51:$E51,1,Scenario)</f>
        <v>0.12</v>
      </c>
      <c r="G51" s="3" t="s">
        <v>80</v>
      </c>
      <c r="H51" s="3"/>
    </row>
    <row r="52" customFormat="false" ht="15" hidden="false" customHeight="false" outlineLevel="0" collapsed="false">
      <c r="A52" s="3" t="s">
        <v>137</v>
      </c>
      <c r="B52" s="3" t="s">
        <v>66</v>
      </c>
      <c r="C52" s="18" t="n">
        <v>0.08</v>
      </c>
      <c r="D52" s="18" t="n">
        <v>0.12</v>
      </c>
      <c r="E52" s="18" t="n">
        <v>0.12</v>
      </c>
      <c r="F52" s="19" t="n">
        <f aca="false">INDEX($C52:$E52,1,Scenario)</f>
        <v>0.12</v>
      </c>
      <c r="G52" s="3" t="s">
        <v>80</v>
      </c>
      <c r="H52" s="3"/>
    </row>
    <row r="53" customFormat="false" ht="15" hidden="false" customHeight="false" outlineLevel="0" collapsed="false">
      <c r="A53" s="3" t="s">
        <v>138</v>
      </c>
      <c r="B53" s="3" t="s">
        <v>62</v>
      </c>
      <c r="C53" s="16" t="n">
        <v>0</v>
      </c>
      <c r="D53" s="16" t="n">
        <v>120000</v>
      </c>
      <c r="E53" s="16" t="n">
        <v>216000</v>
      </c>
      <c r="F53" s="17" t="n">
        <f aca="false">INDEX($C53:$E53,1,Scenario)</f>
        <v>120000</v>
      </c>
      <c r="G53" s="3" t="s">
        <v>80</v>
      </c>
      <c r="H53" s="3" t="s">
        <v>139</v>
      </c>
    </row>
    <row r="54" customFormat="false" ht="15" hidden="false" customHeight="false" outlineLevel="0" collapsed="false">
      <c r="A54" s="3" t="s">
        <v>140</v>
      </c>
      <c r="B54" s="3" t="s">
        <v>62</v>
      </c>
      <c r="C54" s="16" t="n">
        <v>60000</v>
      </c>
      <c r="D54" s="16" t="n">
        <v>350000</v>
      </c>
      <c r="E54" s="16" t="n">
        <v>630000</v>
      </c>
      <c r="F54" s="17" t="n">
        <f aca="false">INDEX($C54:$E54,1,Scenario)</f>
        <v>350000</v>
      </c>
      <c r="G54" s="3" t="s">
        <v>80</v>
      </c>
      <c r="H54" s="3" t="s">
        <v>141</v>
      </c>
    </row>
    <row r="55" customFormat="false" ht="15" hidden="false" customHeight="false" outlineLevel="0" collapsed="false">
      <c r="A55" s="3" t="s">
        <v>142</v>
      </c>
      <c r="B55" s="3" t="s">
        <v>62</v>
      </c>
      <c r="C55" s="16" t="n">
        <v>60000</v>
      </c>
      <c r="D55" s="16" t="n">
        <v>600000</v>
      </c>
      <c r="E55" s="16" t="n">
        <v>1080000</v>
      </c>
      <c r="F55" s="17" t="n">
        <f aca="false">INDEX($C55:$E55,1,Scenario)</f>
        <v>600000</v>
      </c>
      <c r="G55" s="3" t="s">
        <v>80</v>
      </c>
      <c r="H55" s="3"/>
    </row>
    <row r="56" customFormat="false" ht="15" hidden="false" customHeight="false" outlineLevel="0" collapsed="false">
      <c r="A56" s="3" t="s">
        <v>143</v>
      </c>
      <c r="B56" s="3" t="s">
        <v>62</v>
      </c>
      <c r="C56" s="16" t="n">
        <v>60000</v>
      </c>
      <c r="D56" s="16" t="n">
        <v>850000</v>
      </c>
      <c r="E56" s="16" t="n">
        <v>1530000</v>
      </c>
      <c r="F56" s="17" t="n">
        <f aca="false">INDEX($C56:$E56,1,Scenario)</f>
        <v>850000</v>
      </c>
      <c r="G56" s="3" t="s">
        <v>80</v>
      </c>
      <c r="H56" s="3"/>
    </row>
    <row r="57" customFormat="false" ht="15" hidden="false" customHeight="false" outlineLevel="0" collapsed="false">
      <c r="A57" s="3" t="s">
        <v>144</v>
      </c>
      <c r="B57" s="3" t="s">
        <v>62</v>
      </c>
      <c r="C57" s="16" t="n">
        <v>0</v>
      </c>
      <c r="D57" s="16" t="n">
        <v>100000</v>
      </c>
      <c r="E57" s="16" t="n">
        <v>180000</v>
      </c>
      <c r="F57" s="17" t="n">
        <f aca="false">INDEX($C57:$E57,1,Scenario)</f>
        <v>100000</v>
      </c>
      <c r="G57" s="3" t="s">
        <v>80</v>
      </c>
      <c r="H57" s="3"/>
    </row>
    <row r="58" customFormat="false" ht="15" hidden="false" customHeight="false" outlineLevel="0" collapsed="false">
      <c r="A58" s="3" t="s">
        <v>145</v>
      </c>
      <c r="B58" s="3" t="s">
        <v>62</v>
      </c>
      <c r="C58" s="16" t="n">
        <v>0</v>
      </c>
      <c r="D58" s="16" t="n">
        <v>250000</v>
      </c>
      <c r="E58" s="16" t="n">
        <v>450000</v>
      </c>
      <c r="F58" s="17" t="n">
        <f aca="false">INDEX($C58:$E58,1,Scenario)</f>
        <v>250000</v>
      </c>
      <c r="G58" s="3" t="s">
        <v>80</v>
      </c>
      <c r="H58" s="3"/>
    </row>
    <row r="59" customFormat="false" ht="15" hidden="false" customHeight="false" outlineLevel="0" collapsed="false">
      <c r="A59" s="3" t="s">
        <v>146</v>
      </c>
      <c r="B59" s="3" t="s">
        <v>62</v>
      </c>
      <c r="C59" s="16" t="n">
        <v>0</v>
      </c>
      <c r="D59" s="16" t="n">
        <v>400000</v>
      </c>
      <c r="E59" s="16" t="n">
        <v>720000</v>
      </c>
      <c r="F59" s="17" t="n">
        <f aca="false">INDEX($C59:$E59,1,Scenario)</f>
        <v>400000</v>
      </c>
      <c r="G59" s="3" t="s">
        <v>80</v>
      </c>
      <c r="H59" s="3"/>
    </row>
    <row r="60" customFormat="false" ht="15" hidden="false" customHeight="false" outlineLevel="0" collapsed="false">
      <c r="A60" s="3" t="s">
        <v>147</v>
      </c>
      <c r="B60" s="3" t="s">
        <v>62</v>
      </c>
      <c r="C60" s="16" t="n">
        <v>0</v>
      </c>
      <c r="D60" s="16" t="n">
        <v>120000</v>
      </c>
      <c r="E60" s="16" t="n">
        <v>216000</v>
      </c>
      <c r="F60" s="17" t="n">
        <f aca="false">INDEX($C60:$E60,1,Scenario)</f>
        <v>120000</v>
      </c>
      <c r="G60" s="3" t="s">
        <v>80</v>
      </c>
      <c r="H60" s="3"/>
    </row>
    <row r="61" customFormat="false" ht="15" hidden="false" customHeight="false" outlineLevel="0" collapsed="false">
      <c r="A61" s="3" t="s">
        <v>148</v>
      </c>
      <c r="B61" s="3" t="s">
        <v>62</v>
      </c>
      <c r="C61" s="16" t="n">
        <v>0</v>
      </c>
      <c r="D61" s="16" t="n">
        <v>250000</v>
      </c>
      <c r="E61" s="16" t="n">
        <v>450000</v>
      </c>
      <c r="F61" s="17" t="n">
        <f aca="false">INDEX($C61:$E61,1,Scenario)</f>
        <v>250000</v>
      </c>
      <c r="G61" s="3" t="s">
        <v>80</v>
      </c>
      <c r="H61" s="3"/>
    </row>
    <row r="62" customFormat="false" ht="15" hidden="false" customHeight="false" outlineLevel="0" collapsed="false">
      <c r="A62" s="3" t="s">
        <v>149</v>
      </c>
      <c r="B62" s="3" t="s">
        <v>62</v>
      </c>
      <c r="C62" s="16" t="n">
        <v>0</v>
      </c>
      <c r="D62" s="16" t="n">
        <v>150000</v>
      </c>
      <c r="E62" s="16" t="n">
        <v>270000</v>
      </c>
      <c r="F62" s="17" t="n">
        <f aca="false">INDEX($C62:$E62,1,Scenario)</f>
        <v>150000</v>
      </c>
      <c r="G62" s="3" t="s">
        <v>80</v>
      </c>
      <c r="H62" s="3"/>
    </row>
    <row r="63" customFormat="false" ht="15" hidden="false" customHeight="false" outlineLevel="0" collapsed="false">
      <c r="A63" s="3" t="s">
        <v>150</v>
      </c>
      <c r="B63" s="3" t="s">
        <v>62</v>
      </c>
      <c r="C63" s="16" t="n">
        <v>0</v>
      </c>
      <c r="D63" s="16" t="n">
        <v>350000</v>
      </c>
      <c r="E63" s="16" t="n">
        <v>630000</v>
      </c>
      <c r="F63" s="17" t="n">
        <f aca="false">INDEX($C63:$E63,1,Scenario)</f>
        <v>350000</v>
      </c>
      <c r="G63" s="3" t="s">
        <v>80</v>
      </c>
      <c r="H63" s="3"/>
    </row>
    <row r="65" customFormat="false" ht="15" hidden="false" customHeight="false" outlineLevel="0" collapsed="false">
      <c r="A65" s="5" t="s">
        <v>151</v>
      </c>
      <c r="B65" s="15"/>
      <c r="C65" s="15"/>
      <c r="D65" s="15"/>
      <c r="E65" s="15"/>
      <c r="F65" s="15"/>
      <c r="G65" s="15"/>
      <c r="H65" s="15"/>
    </row>
    <row r="66" customFormat="false" ht="15" hidden="false" customHeight="false" outlineLevel="0" collapsed="false">
      <c r="A66" s="3" t="s">
        <v>152</v>
      </c>
      <c r="B66" s="3" t="s">
        <v>66</v>
      </c>
      <c r="C66" s="18" t="n">
        <v>0.13</v>
      </c>
      <c r="D66" s="18" t="n">
        <v>0.13</v>
      </c>
      <c r="E66" s="18" t="n">
        <v>0.13</v>
      </c>
      <c r="F66" s="19" t="n">
        <f aca="false">INDEX($C66:$E66,1,Scenario)</f>
        <v>0.13</v>
      </c>
      <c r="G66" s="3" t="s">
        <v>80</v>
      </c>
      <c r="H66" s="3"/>
    </row>
    <row r="67" customFormat="false" ht="15" hidden="false" customHeight="false" outlineLevel="0" collapsed="false">
      <c r="A67" s="3" t="s">
        <v>153</v>
      </c>
      <c r="B67" s="3" t="s">
        <v>62</v>
      </c>
      <c r="C67" s="16" t="n">
        <v>6.5</v>
      </c>
      <c r="D67" s="16" t="n">
        <v>6.5</v>
      </c>
      <c r="E67" s="16" t="n">
        <v>6.5</v>
      </c>
      <c r="F67" s="17" t="n">
        <f aca="false">INDEX($C67:$E67,1,Scenario)</f>
        <v>6.5</v>
      </c>
      <c r="G67" s="3" t="s">
        <v>80</v>
      </c>
      <c r="H67" s="3"/>
    </row>
    <row r="68" customFormat="false" ht="15" hidden="false" customHeight="false" outlineLevel="0" collapsed="false">
      <c r="A68" s="3" t="s">
        <v>154</v>
      </c>
      <c r="B68" s="3" t="s">
        <v>66</v>
      </c>
      <c r="C68" s="18" t="n">
        <v>0.05</v>
      </c>
      <c r="D68" s="18" t="n">
        <v>0.05</v>
      </c>
      <c r="E68" s="18" t="n">
        <v>0.05</v>
      </c>
      <c r="F68" s="19" t="n">
        <f aca="false">INDEX($C68:$E68,1,Scenario)</f>
        <v>0.05</v>
      </c>
      <c r="G68" s="3" t="s">
        <v>80</v>
      </c>
      <c r="H68" s="3"/>
    </row>
    <row r="69" customFormat="false" ht="15" hidden="false" customHeight="false" outlineLevel="0" collapsed="false">
      <c r="A69" s="3" t="s">
        <v>155</v>
      </c>
      <c r="B69" s="3" t="s">
        <v>66</v>
      </c>
      <c r="C69" s="18" t="n">
        <v>0.03</v>
      </c>
      <c r="D69" s="18" t="n">
        <v>0.03</v>
      </c>
      <c r="E69" s="18" t="n">
        <v>0.03</v>
      </c>
      <c r="F69" s="19" t="n">
        <f aca="false">INDEX($C69:$E69,1,Scenario)</f>
        <v>0.03</v>
      </c>
      <c r="G69" s="3" t="s">
        <v>80</v>
      </c>
      <c r="H69" s="3"/>
    </row>
    <row r="70" customFormat="false" ht="15" hidden="false" customHeight="false" outlineLevel="0" collapsed="false">
      <c r="A70" s="3" t="s">
        <v>156</v>
      </c>
      <c r="B70" s="3" t="s">
        <v>66</v>
      </c>
      <c r="C70" s="18" t="n">
        <v>0.6</v>
      </c>
      <c r="D70" s="18" t="n">
        <v>0.6</v>
      </c>
      <c r="E70" s="18" t="n">
        <v>0.6</v>
      </c>
      <c r="F70" s="19" t="n">
        <f aca="false">INDEX($C70:$E70,1,Scenario)</f>
        <v>0.6</v>
      </c>
      <c r="G70" s="3" t="s">
        <v>80</v>
      </c>
      <c r="H70" s="3"/>
    </row>
    <row r="71" customFormat="false" ht="15" hidden="false" customHeight="false" outlineLevel="0" collapsed="false">
      <c r="A71" s="3" t="s">
        <v>157</v>
      </c>
      <c r="B71" s="3" t="s">
        <v>62</v>
      </c>
      <c r="C71" s="16" t="n">
        <v>4</v>
      </c>
      <c r="D71" s="16" t="n">
        <v>4</v>
      </c>
      <c r="E71" s="16" t="n">
        <v>4</v>
      </c>
      <c r="F71" s="17" t="n">
        <f aca="false">INDEX($C71:$E71,1,Scenario)</f>
        <v>4</v>
      </c>
      <c r="G71" s="3" t="s">
        <v>80</v>
      </c>
      <c r="H71" s="3"/>
    </row>
    <row r="72" customFormat="false" ht="15" hidden="false" customHeight="false" outlineLevel="0" collapsed="false">
      <c r="A72" s="3" t="s">
        <v>158</v>
      </c>
      <c r="B72" s="3" t="s">
        <v>66</v>
      </c>
      <c r="C72" s="18" t="n">
        <v>0.05</v>
      </c>
      <c r="D72" s="18" t="n">
        <v>0.05</v>
      </c>
      <c r="E72" s="18" t="n">
        <v>0.05</v>
      </c>
      <c r="F72" s="19" t="n">
        <f aca="false">INDEX($C72:$E72,1,Scenario)</f>
        <v>0.05</v>
      </c>
      <c r="G72" s="3" t="s">
        <v>80</v>
      </c>
      <c r="H72" s="3"/>
    </row>
    <row r="73" customFormat="false" ht="15" hidden="false" customHeight="false" outlineLevel="0" collapsed="false">
      <c r="A73" s="3" t="s">
        <v>159</v>
      </c>
      <c r="B73" s="3" t="s">
        <v>66</v>
      </c>
      <c r="C73" s="18" t="n">
        <v>0.03</v>
      </c>
      <c r="D73" s="18" t="n">
        <v>0.03</v>
      </c>
      <c r="E73" s="18" t="n">
        <v>0.03</v>
      </c>
      <c r="F73" s="19" t="n">
        <f aca="false">INDEX($C73:$E73,1,Scenario)</f>
        <v>0.03</v>
      </c>
      <c r="G73" s="3" t="s">
        <v>80</v>
      </c>
      <c r="H73" s="3"/>
    </row>
    <row r="74" customFormat="false" ht="15" hidden="false" customHeight="false" outlineLevel="0" collapsed="false">
      <c r="A74" s="3" t="s">
        <v>160</v>
      </c>
      <c r="B74" s="3" t="s">
        <v>66</v>
      </c>
      <c r="C74" s="18" t="n">
        <v>0.02</v>
      </c>
      <c r="D74" s="18" t="n">
        <v>0.02</v>
      </c>
      <c r="E74" s="18" t="n">
        <v>0.02</v>
      </c>
      <c r="F74" s="19" t="n">
        <f aca="false">INDEX($C74:$E74,1,Scenario)</f>
        <v>0.02</v>
      </c>
      <c r="G74" s="3" t="s">
        <v>80</v>
      </c>
      <c r="H74" s="3"/>
    </row>
    <row r="75" customFormat="false" ht="15" hidden="false" customHeight="false" outlineLevel="0" collapsed="false">
      <c r="A75" s="3" t="s">
        <v>161</v>
      </c>
      <c r="B75" s="3" t="s">
        <v>66</v>
      </c>
      <c r="C75" s="18" t="n">
        <v>0.03</v>
      </c>
      <c r="D75" s="18" t="n">
        <v>0.03</v>
      </c>
      <c r="E75" s="18" t="n">
        <v>0.03</v>
      </c>
      <c r="F75" s="19" t="n">
        <f aca="false">INDEX($C75:$E75,1,Scenario)</f>
        <v>0.03</v>
      </c>
      <c r="G75" s="3" t="s">
        <v>80</v>
      </c>
      <c r="H75" s="3"/>
    </row>
    <row r="76" customFormat="false" ht="15" hidden="false" customHeight="false" outlineLevel="0" collapsed="false">
      <c r="A76" s="3" t="s">
        <v>162</v>
      </c>
      <c r="B76" s="3" t="s">
        <v>62</v>
      </c>
      <c r="C76" s="16" t="n">
        <v>11</v>
      </c>
      <c r="D76" s="16" t="n">
        <v>11</v>
      </c>
      <c r="E76" s="16" t="n">
        <v>11</v>
      </c>
      <c r="F76" s="17" t="n">
        <f aca="false">INDEX($C76:$E76,1,Scenario)</f>
        <v>11</v>
      </c>
      <c r="G76" s="3" t="s">
        <v>80</v>
      </c>
      <c r="H76" s="3"/>
    </row>
    <row r="77" customFormat="false" ht="15" hidden="false" customHeight="false" outlineLevel="0" collapsed="false">
      <c r="A77" s="3" t="s">
        <v>163</v>
      </c>
      <c r="B77" s="3" t="s">
        <v>66</v>
      </c>
      <c r="C77" s="18" t="n">
        <v>0.15</v>
      </c>
      <c r="D77" s="18" t="n">
        <v>0.15</v>
      </c>
      <c r="E77" s="18" t="n">
        <v>0.15</v>
      </c>
      <c r="F77" s="19" t="n">
        <f aca="false">INDEX($C77:$E77,1,Scenario)</f>
        <v>0.15</v>
      </c>
      <c r="G77" s="3" t="s">
        <v>80</v>
      </c>
      <c r="H77" s="3"/>
    </row>
    <row r="78" customFormat="false" ht="15" hidden="false" customHeight="false" outlineLevel="0" collapsed="false">
      <c r="A78" s="3" t="s">
        <v>164</v>
      </c>
      <c r="B78" s="3" t="s">
        <v>66</v>
      </c>
      <c r="C78" s="18" t="n">
        <v>0.03</v>
      </c>
      <c r="D78" s="18" t="n">
        <v>0.03</v>
      </c>
      <c r="E78" s="18" t="n">
        <v>0.03</v>
      </c>
      <c r="F78" s="19" t="n">
        <f aca="false">INDEX($C78:$E78,1,Scenario)</f>
        <v>0.03</v>
      </c>
      <c r="G78" s="3" t="s">
        <v>80</v>
      </c>
      <c r="H78" s="3"/>
    </row>
    <row r="79" customFormat="false" ht="15" hidden="false" customHeight="false" outlineLevel="0" collapsed="false">
      <c r="A79" s="3" t="s">
        <v>165</v>
      </c>
      <c r="B79" s="3" t="s">
        <v>66</v>
      </c>
      <c r="C79" s="18" t="n">
        <v>0.92</v>
      </c>
      <c r="D79" s="18" t="n">
        <v>0.92</v>
      </c>
      <c r="E79" s="18" t="n">
        <v>0.92</v>
      </c>
      <c r="F79" s="19" t="n">
        <f aca="false">INDEX($C79:$E79,1,Scenario)</f>
        <v>0.92</v>
      </c>
      <c r="G79" s="3" t="s">
        <v>80</v>
      </c>
      <c r="H79" s="3"/>
    </row>
    <row r="80" customFormat="false" ht="15" hidden="false" customHeight="false" outlineLevel="0" collapsed="false">
      <c r="A80" s="3" t="s">
        <v>166</v>
      </c>
      <c r="B80" s="3" t="s">
        <v>62</v>
      </c>
      <c r="C80" s="16" t="n">
        <v>6.5</v>
      </c>
      <c r="D80" s="16" t="n">
        <v>6.5</v>
      </c>
      <c r="E80" s="16" t="n">
        <v>6.5</v>
      </c>
      <c r="F80" s="17" t="n">
        <f aca="false">INDEX($C80:$E80,1,Scenario)</f>
        <v>6.5</v>
      </c>
      <c r="G80" s="3" t="s">
        <v>80</v>
      </c>
      <c r="H80" s="3"/>
    </row>
    <row r="81" customFormat="false" ht="15" hidden="false" customHeight="false" outlineLevel="0" collapsed="false">
      <c r="A81" s="3" t="s">
        <v>167</v>
      </c>
      <c r="B81" s="3" t="s">
        <v>66</v>
      </c>
      <c r="C81" s="18" t="n">
        <v>0.15</v>
      </c>
      <c r="D81" s="18" t="n">
        <v>0.15</v>
      </c>
      <c r="E81" s="18" t="n">
        <v>0.15</v>
      </c>
      <c r="F81" s="19" t="n">
        <f aca="false">INDEX($C81:$E81,1,Scenario)</f>
        <v>0.15</v>
      </c>
      <c r="G81" s="3" t="s">
        <v>80</v>
      </c>
      <c r="H81" s="3"/>
    </row>
    <row r="82" customFormat="false" ht="15" hidden="false" customHeight="false" outlineLevel="0" collapsed="false">
      <c r="A82" s="3" t="s">
        <v>168</v>
      </c>
      <c r="B82" s="3" t="s">
        <v>66</v>
      </c>
      <c r="C82" s="18" t="n">
        <v>0.12</v>
      </c>
      <c r="D82" s="18" t="n">
        <v>0.12</v>
      </c>
      <c r="E82" s="18" t="n">
        <v>0.12</v>
      </c>
      <c r="F82" s="19" t="n">
        <f aca="false">INDEX($C82:$E82,1,Scenario)</f>
        <v>0.12</v>
      </c>
      <c r="G82" s="3" t="s">
        <v>80</v>
      </c>
      <c r="H82" s="3"/>
    </row>
    <row r="83" customFormat="false" ht="15" hidden="false" customHeight="false" outlineLevel="0" collapsed="false">
      <c r="A83" s="3" t="s">
        <v>169</v>
      </c>
      <c r="B83" s="3" t="s">
        <v>66</v>
      </c>
      <c r="C83" s="18" t="n">
        <v>0.03</v>
      </c>
      <c r="D83" s="18" t="n">
        <v>0.03</v>
      </c>
      <c r="E83" s="18" t="n">
        <v>0.03</v>
      </c>
      <c r="F83" s="19" t="n">
        <f aca="false">INDEX($C83:$E83,1,Scenario)</f>
        <v>0.03</v>
      </c>
      <c r="G83" s="3" t="s">
        <v>80</v>
      </c>
      <c r="H83" s="3"/>
    </row>
    <row r="84" customFormat="false" ht="15" hidden="false" customHeight="false" outlineLevel="0" collapsed="false">
      <c r="A84" s="3" t="s">
        <v>170</v>
      </c>
      <c r="B84" s="3" t="s">
        <v>66</v>
      </c>
      <c r="C84" s="18" t="n">
        <v>0</v>
      </c>
      <c r="D84" s="18" t="n">
        <v>0</v>
      </c>
      <c r="E84" s="18" t="n">
        <v>0</v>
      </c>
      <c r="F84" s="19" t="n">
        <f aca="false">INDEX($C84:$E84,1,Scenario)</f>
        <v>0</v>
      </c>
      <c r="G84" s="3" t="s">
        <v>80</v>
      </c>
      <c r="H84" s="3"/>
    </row>
    <row r="85" customFormat="false" ht="15" hidden="false" customHeight="false" outlineLevel="0" collapsed="false">
      <c r="A85" s="3" t="s">
        <v>171</v>
      </c>
      <c r="B85" s="3" t="s">
        <v>62</v>
      </c>
      <c r="C85" s="16" t="n">
        <v>120</v>
      </c>
      <c r="D85" s="16" t="n">
        <v>120</v>
      </c>
      <c r="E85" s="16" t="n">
        <v>120</v>
      </c>
      <c r="F85" s="17" t="n">
        <f aca="false">INDEX($C85:$E85,1,Scenario)</f>
        <v>120</v>
      </c>
      <c r="G85" s="3" t="s">
        <v>80</v>
      </c>
      <c r="H85" s="3"/>
    </row>
    <row r="86" customFormat="false" ht="15" hidden="false" customHeight="false" outlineLevel="0" collapsed="false">
      <c r="A86" s="3" t="s">
        <v>172</v>
      </c>
      <c r="B86" s="3" t="s">
        <v>66</v>
      </c>
      <c r="C86" s="18" t="n">
        <v>0.4</v>
      </c>
      <c r="D86" s="18" t="n">
        <v>0.4</v>
      </c>
      <c r="E86" s="18" t="n">
        <v>0.4</v>
      </c>
      <c r="F86" s="19" t="n">
        <f aca="false">INDEX($C86:$E86,1,Scenario)</f>
        <v>0.4</v>
      </c>
      <c r="G86" s="3" t="s">
        <v>80</v>
      </c>
      <c r="H86" s="3"/>
    </row>
    <row r="87" customFormat="false" ht="15" hidden="false" customHeight="false" outlineLevel="0" collapsed="false">
      <c r="A87" s="3" t="s">
        <v>173</v>
      </c>
      <c r="B87" s="3" t="s">
        <v>66</v>
      </c>
      <c r="C87" s="18" t="n">
        <v>0.6</v>
      </c>
      <c r="D87" s="18" t="n">
        <v>0.6</v>
      </c>
      <c r="E87" s="18" t="n">
        <v>0.6</v>
      </c>
      <c r="F87" s="19" t="n">
        <f aca="false">INDEX($C87:$E87,1,Scenario)</f>
        <v>0.6</v>
      </c>
      <c r="G87" s="3" t="s">
        <v>80</v>
      </c>
      <c r="H87" s="3"/>
    </row>
    <row r="88" customFormat="false" ht="15" hidden="false" customHeight="false" outlineLevel="0" collapsed="false">
      <c r="A88" s="3" t="s">
        <v>174</v>
      </c>
      <c r="B88" s="3" t="s">
        <v>62</v>
      </c>
      <c r="C88" s="16" t="n">
        <v>8.4</v>
      </c>
      <c r="D88" s="16" t="n">
        <v>8.4</v>
      </c>
      <c r="E88" s="16" t="n">
        <v>8.4</v>
      </c>
      <c r="F88" s="17" t="n">
        <f aca="false">INDEX($C88:$E88,1,Scenario)</f>
        <v>8.4</v>
      </c>
      <c r="G88" s="3" t="s">
        <v>80</v>
      </c>
      <c r="H88" s="3"/>
    </row>
    <row r="89" customFormat="false" ht="15" hidden="false" customHeight="false" outlineLevel="0" collapsed="false">
      <c r="A89" s="3" t="s">
        <v>175</v>
      </c>
      <c r="B89" s="3" t="s">
        <v>66</v>
      </c>
      <c r="C89" s="18" t="n">
        <v>0.12</v>
      </c>
      <c r="D89" s="18" t="n">
        <v>0.12</v>
      </c>
      <c r="E89" s="18" t="n">
        <v>0.12</v>
      </c>
      <c r="F89" s="19" t="n">
        <f aca="false">INDEX($C89:$E89,1,Scenario)</f>
        <v>0.12</v>
      </c>
      <c r="G89" s="3" t="s">
        <v>80</v>
      </c>
      <c r="H89" s="3"/>
    </row>
    <row r="90" customFormat="false" ht="15" hidden="false" customHeight="false" outlineLevel="0" collapsed="false">
      <c r="A90" s="3" t="s">
        <v>176</v>
      </c>
      <c r="B90" s="3" t="s">
        <v>66</v>
      </c>
      <c r="C90" s="18" t="n">
        <v>0.03</v>
      </c>
      <c r="D90" s="18" t="n">
        <v>0.03</v>
      </c>
      <c r="E90" s="18" t="n">
        <v>0.03</v>
      </c>
      <c r="F90" s="19" t="n">
        <f aca="false">INDEX($C90:$E90,1,Scenario)</f>
        <v>0.03</v>
      </c>
      <c r="G90" s="3" t="s">
        <v>80</v>
      </c>
      <c r="H90" s="3"/>
    </row>
    <row r="91" customFormat="false" ht="15" hidden="false" customHeight="false" outlineLevel="0" collapsed="false">
      <c r="A91" s="3" t="s">
        <v>177</v>
      </c>
      <c r="B91" s="3" t="s">
        <v>66</v>
      </c>
      <c r="C91" s="18" t="n">
        <v>0.02</v>
      </c>
      <c r="D91" s="18" t="n">
        <v>0.02</v>
      </c>
      <c r="E91" s="18" t="n">
        <v>0.02</v>
      </c>
      <c r="F91" s="19" t="n">
        <f aca="false">INDEX($C91:$E91,1,Scenario)</f>
        <v>0.02</v>
      </c>
      <c r="G91" s="3" t="s">
        <v>80</v>
      </c>
      <c r="H91" s="3"/>
    </row>
    <row r="93" customFormat="false" ht="15" hidden="false" customHeight="false" outlineLevel="0" collapsed="false">
      <c r="A93" s="5" t="s">
        <v>178</v>
      </c>
      <c r="B93" s="15"/>
      <c r="C93" s="15"/>
      <c r="D93" s="15"/>
      <c r="E93" s="15"/>
      <c r="F93" s="15"/>
      <c r="G93" s="15"/>
      <c r="H93" s="15"/>
    </row>
    <row r="94" customFormat="false" ht="15" hidden="false" customHeight="false" outlineLevel="0" collapsed="false">
      <c r="A94" s="3" t="s">
        <v>179</v>
      </c>
      <c r="B94" s="3" t="s">
        <v>62</v>
      </c>
      <c r="C94" s="16" t="n">
        <v>800</v>
      </c>
      <c r="D94" s="16" t="n">
        <v>800</v>
      </c>
      <c r="E94" s="16" t="n">
        <v>800</v>
      </c>
      <c r="F94" s="17" t="n">
        <f aca="false">INDEX($C94:$E94,1,Scenario)</f>
        <v>800</v>
      </c>
      <c r="G94" s="3" t="s">
        <v>80</v>
      </c>
      <c r="H94" s="3"/>
    </row>
    <row r="95" customFormat="false" ht="15" hidden="false" customHeight="false" outlineLevel="0" collapsed="false">
      <c r="A95" s="3" t="s">
        <v>180</v>
      </c>
      <c r="B95" s="3" t="s">
        <v>62</v>
      </c>
      <c r="C95" s="16" t="n">
        <v>60</v>
      </c>
      <c r="D95" s="16" t="n">
        <v>60</v>
      </c>
      <c r="E95" s="16" t="n">
        <v>60</v>
      </c>
      <c r="F95" s="17" t="n">
        <f aca="false">INDEX($C95:$E95,1,Scenario)</f>
        <v>60</v>
      </c>
      <c r="G95" s="3" t="s">
        <v>63</v>
      </c>
      <c r="H95" s="3"/>
    </row>
    <row r="96" customFormat="false" ht="15" hidden="false" customHeight="false" outlineLevel="0" collapsed="false">
      <c r="A96" s="3" t="s">
        <v>181</v>
      </c>
      <c r="B96" s="3" t="s">
        <v>62</v>
      </c>
      <c r="C96" s="16" t="n">
        <v>500</v>
      </c>
      <c r="D96" s="16" t="n">
        <v>500</v>
      </c>
      <c r="E96" s="16" t="n">
        <v>500</v>
      </c>
      <c r="F96" s="17" t="n">
        <f aca="false">INDEX($C96:$E96,1,Scenario)</f>
        <v>500</v>
      </c>
      <c r="G96" s="3" t="s">
        <v>63</v>
      </c>
      <c r="H96" s="3"/>
    </row>
    <row r="97" customFormat="false" ht="15" hidden="false" customHeight="false" outlineLevel="0" collapsed="false">
      <c r="A97" s="3" t="s">
        <v>182</v>
      </c>
      <c r="B97" s="3" t="s">
        <v>62</v>
      </c>
      <c r="C97" s="16" t="n">
        <v>1200</v>
      </c>
      <c r="D97" s="16" t="n">
        <v>1200</v>
      </c>
      <c r="E97" s="16" t="n">
        <v>1200</v>
      </c>
      <c r="F97" s="17" t="n">
        <f aca="false">INDEX($C97:$E97,1,Scenario)</f>
        <v>1200</v>
      </c>
      <c r="G97" s="3" t="s">
        <v>80</v>
      </c>
      <c r="H97" s="3"/>
    </row>
    <row r="98" customFormat="false" ht="15" hidden="false" customHeight="false" outlineLevel="0" collapsed="false">
      <c r="A98" s="3" t="s">
        <v>183</v>
      </c>
      <c r="B98" s="3" t="s">
        <v>62</v>
      </c>
      <c r="C98" s="16" t="n">
        <v>0</v>
      </c>
      <c r="D98" s="16" t="n">
        <v>0</v>
      </c>
      <c r="E98" s="16" t="n">
        <v>0</v>
      </c>
      <c r="F98" s="17" t="n">
        <f aca="false">INDEX($C98:$E98,1,Scenario)</f>
        <v>0</v>
      </c>
      <c r="G98" s="3" t="s">
        <v>80</v>
      </c>
      <c r="H98" s="3"/>
    </row>
    <row r="100" customFormat="false" ht="15" hidden="false" customHeight="false" outlineLevel="0" collapsed="false">
      <c r="A100" s="5" t="s">
        <v>184</v>
      </c>
      <c r="B100" s="15"/>
      <c r="C100" s="15"/>
      <c r="D100" s="15"/>
      <c r="E100" s="15"/>
      <c r="F100" s="15"/>
      <c r="G100" s="15"/>
      <c r="H100" s="15"/>
    </row>
    <row r="101" customFormat="false" ht="15" hidden="false" customHeight="false" outlineLevel="0" collapsed="false">
      <c r="A101" s="3" t="s">
        <v>185</v>
      </c>
      <c r="B101" s="3" t="s">
        <v>186</v>
      </c>
      <c r="C101" s="25" t="n">
        <v>3</v>
      </c>
      <c r="D101" s="25" t="n">
        <v>2.5</v>
      </c>
      <c r="E101" s="25" t="n">
        <v>2</v>
      </c>
      <c r="F101" s="26" t="n">
        <f aca="false">INDEX($C101:$E101,1,Scenario)</f>
        <v>2.5</v>
      </c>
      <c r="G101" s="3" t="s">
        <v>80</v>
      </c>
      <c r="H101" s="3"/>
    </row>
    <row r="102" customFormat="false" ht="15" hidden="false" customHeight="false" outlineLevel="0" collapsed="false">
      <c r="A102" s="3" t="s">
        <v>187</v>
      </c>
      <c r="B102" s="3" t="s">
        <v>90</v>
      </c>
      <c r="C102" s="12" t="n">
        <v>99</v>
      </c>
      <c r="D102" s="12" t="n">
        <v>7</v>
      </c>
      <c r="E102" s="12" t="n">
        <v>7</v>
      </c>
      <c r="F102" s="22" t="n">
        <f aca="false">INDEX($C102:$E102,1,Scenario)</f>
        <v>7</v>
      </c>
      <c r="G102" s="3" t="s">
        <v>80</v>
      </c>
      <c r="H102" s="3" t="s">
        <v>188</v>
      </c>
    </row>
    <row r="103" customFormat="false" ht="15" hidden="false" customHeight="false" outlineLevel="0" collapsed="false">
      <c r="A103" s="3" t="s">
        <v>189</v>
      </c>
      <c r="B103" s="3" t="s">
        <v>186</v>
      </c>
      <c r="C103" s="25" t="n">
        <v>1</v>
      </c>
      <c r="D103" s="25" t="n">
        <v>1</v>
      </c>
      <c r="E103" s="25" t="n">
        <v>1</v>
      </c>
      <c r="F103" s="26" t="n">
        <f aca="false">INDEX($C103:$E103,1,Scenario)</f>
        <v>1</v>
      </c>
      <c r="G103" s="3" t="s">
        <v>80</v>
      </c>
      <c r="H103" s="3" t="s">
        <v>190</v>
      </c>
    </row>
    <row r="104" customFormat="false" ht="15" hidden="false" customHeight="false" outlineLevel="0" collapsed="false">
      <c r="A104" s="3" t="s">
        <v>191</v>
      </c>
      <c r="B104" s="3" t="s">
        <v>186</v>
      </c>
      <c r="C104" s="25" t="n">
        <v>2</v>
      </c>
      <c r="D104" s="25" t="n">
        <v>2</v>
      </c>
      <c r="E104" s="25" t="n">
        <v>2</v>
      </c>
      <c r="F104" s="26" t="n">
        <f aca="false">INDEX($C104:$E104,1,Scenario)</f>
        <v>2</v>
      </c>
      <c r="G104" s="3" t="s">
        <v>80</v>
      </c>
      <c r="H104" s="3" t="s">
        <v>190</v>
      </c>
    </row>
    <row r="105" customFormat="false" ht="15" hidden="false" customHeight="false" outlineLevel="0" collapsed="false">
      <c r="A105" s="3" t="s">
        <v>192</v>
      </c>
      <c r="B105" s="3" t="s">
        <v>193</v>
      </c>
      <c r="C105" s="12" t="n">
        <v>135</v>
      </c>
      <c r="D105" s="12" t="n">
        <v>95</v>
      </c>
      <c r="E105" s="12" t="n">
        <v>85</v>
      </c>
      <c r="F105" s="22" t="n">
        <f aca="false">INDEX($C105:$E105,1,Scenario)</f>
        <v>95</v>
      </c>
      <c r="G105" s="3" t="s">
        <v>80</v>
      </c>
      <c r="H105" s="3" t="s">
        <v>194</v>
      </c>
    </row>
    <row r="106" customFormat="false" ht="15" hidden="false" customHeight="false" outlineLevel="0" collapsed="false">
      <c r="A106" s="3" t="s">
        <v>195</v>
      </c>
      <c r="B106" s="3" t="s">
        <v>62</v>
      </c>
      <c r="C106" s="16" t="n">
        <v>39000</v>
      </c>
      <c r="D106" s="16" t="n">
        <v>39000</v>
      </c>
      <c r="E106" s="16" t="n">
        <v>39000</v>
      </c>
      <c r="F106" s="17" t="n">
        <f aca="false">INDEX($C106:$E106,1,Scenario)</f>
        <v>39000</v>
      </c>
      <c r="G106" s="3" t="s">
        <v>63</v>
      </c>
      <c r="H106" s="3" t="s">
        <v>196</v>
      </c>
    </row>
    <row r="107" customFormat="false" ht="15" hidden="false" customHeight="false" outlineLevel="0" collapsed="false">
      <c r="A107" s="3" t="s">
        <v>197</v>
      </c>
      <c r="B107" s="3" t="s">
        <v>66</v>
      </c>
      <c r="C107" s="18" t="n">
        <v>0.3</v>
      </c>
      <c r="D107" s="18" t="n">
        <v>0.3</v>
      </c>
      <c r="E107" s="18" t="n">
        <v>0.3</v>
      </c>
      <c r="F107" s="19" t="n">
        <f aca="false">INDEX($C107:$E107,1,Scenario)</f>
        <v>0.3</v>
      </c>
      <c r="G107" s="3" t="s">
        <v>80</v>
      </c>
      <c r="H107" s="3" t="s">
        <v>198</v>
      </c>
    </row>
    <row r="108" customFormat="false" ht="15" hidden="false" customHeight="false" outlineLevel="0" collapsed="false">
      <c r="A108" s="3" t="s">
        <v>199</v>
      </c>
      <c r="B108" s="3" t="s">
        <v>193</v>
      </c>
      <c r="C108" s="12" t="n">
        <v>14</v>
      </c>
      <c r="D108" s="12" t="n">
        <v>14</v>
      </c>
      <c r="E108" s="12" t="n">
        <v>14</v>
      </c>
      <c r="F108" s="22" t="n">
        <f aca="false">INDEX($C108:$E108,1,Scenario)</f>
        <v>14</v>
      </c>
      <c r="G108" s="3" t="s">
        <v>63</v>
      </c>
      <c r="H108" s="3" t="s">
        <v>200</v>
      </c>
    </row>
    <row r="109" customFormat="false" ht="15" hidden="false" customHeight="false" outlineLevel="0" collapsed="false">
      <c r="A109" s="3" t="s">
        <v>201</v>
      </c>
      <c r="B109" s="3" t="s">
        <v>193</v>
      </c>
      <c r="C109" s="12" t="n">
        <v>14</v>
      </c>
      <c r="D109" s="12" t="n">
        <v>14</v>
      </c>
      <c r="E109" s="12" t="n">
        <v>14</v>
      </c>
      <c r="F109" s="22" t="n">
        <f aca="false">INDEX($C109:$E109,1,Scenario)</f>
        <v>14</v>
      </c>
      <c r="G109" s="3" t="s">
        <v>80</v>
      </c>
      <c r="H109" s="3"/>
    </row>
    <row r="110" customFormat="false" ht="15" hidden="false" customHeight="false" outlineLevel="0" collapsed="false">
      <c r="A110" s="3" t="s">
        <v>202</v>
      </c>
      <c r="B110" s="3" t="s">
        <v>79</v>
      </c>
      <c r="C110" s="20" t="n">
        <v>1.2</v>
      </c>
      <c r="D110" s="20" t="n">
        <v>1.2</v>
      </c>
      <c r="E110" s="20" t="n">
        <v>1.2</v>
      </c>
      <c r="F110" s="21" t="n">
        <f aca="false">INDEX($C110:$E110,1,Scenario)</f>
        <v>1.2</v>
      </c>
      <c r="G110" s="3" t="s">
        <v>80</v>
      </c>
      <c r="H110" s="3" t="s">
        <v>203</v>
      </c>
    </row>
    <row r="111" customFormat="false" ht="15" hidden="false" customHeight="false" outlineLevel="0" collapsed="false">
      <c r="A111" s="3" t="s">
        <v>204</v>
      </c>
      <c r="B111" s="3" t="s">
        <v>79</v>
      </c>
      <c r="C111" s="13" t="n">
        <v>1430</v>
      </c>
      <c r="D111" s="13" t="n">
        <v>1430</v>
      </c>
      <c r="E111" s="13" t="n">
        <v>1430</v>
      </c>
      <c r="F111" s="27" t="n">
        <f aca="false">INDEX($C111:$E111,1,Scenario)</f>
        <v>1430</v>
      </c>
      <c r="G111" s="3" t="s">
        <v>63</v>
      </c>
      <c r="H111" s="3" t="s">
        <v>205</v>
      </c>
    </row>
    <row r="113" customFormat="false" ht="15" hidden="false" customHeight="false" outlineLevel="0" collapsed="false">
      <c r="A113" s="5" t="s">
        <v>206</v>
      </c>
      <c r="B113" s="15"/>
      <c r="C113" s="15"/>
      <c r="D113" s="15"/>
      <c r="E113" s="15"/>
      <c r="F113" s="15"/>
      <c r="G113" s="15"/>
      <c r="H113" s="15"/>
    </row>
    <row r="114" customFormat="false" ht="15" hidden="false" customHeight="false" outlineLevel="0" collapsed="false">
      <c r="A114" s="3" t="s">
        <v>207</v>
      </c>
      <c r="B114" s="3" t="s">
        <v>66</v>
      </c>
      <c r="C114" s="18" t="n">
        <v>0.08</v>
      </c>
      <c r="D114" s="18" t="n">
        <v>0.08</v>
      </c>
      <c r="E114" s="18" t="n">
        <v>0.08</v>
      </c>
      <c r="F114" s="19" t="n">
        <f aca="false">INDEX($C114:$E114,1,Scenario)</f>
        <v>0.08</v>
      </c>
      <c r="G114" s="3" t="s">
        <v>80</v>
      </c>
      <c r="H114" s="3" t="s">
        <v>208</v>
      </c>
    </row>
    <row r="115" customFormat="false" ht="15" hidden="false" customHeight="false" outlineLevel="0" collapsed="false">
      <c r="A115" s="3" t="s">
        <v>209</v>
      </c>
      <c r="B115" s="3" t="s">
        <v>66</v>
      </c>
      <c r="C115" s="18" t="n">
        <v>0.05</v>
      </c>
      <c r="D115" s="18" t="n">
        <v>0.05</v>
      </c>
      <c r="E115" s="18" t="n">
        <v>0.05</v>
      </c>
      <c r="F115" s="19" t="n">
        <f aca="false">INDEX($C115:$E115,1,Scenario)</f>
        <v>0.05</v>
      </c>
      <c r="G115" s="3" t="s">
        <v>80</v>
      </c>
      <c r="H115" s="3" t="s">
        <v>208</v>
      </c>
    </row>
    <row r="116" customFormat="false" ht="15" hidden="false" customHeight="false" outlineLevel="0" collapsed="false">
      <c r="A116" s="3" t="s">
        <v>210</v>
      </c>
      <c r="B116" s="3" t="s">
        <v>66</v>
      </c>
      <c r="C116" s="18" t="n">
        <v>0.3</v>
      </c>
      <c r="D116" s="18" t="n">
        <v>0.3</v>
      </c>
      <c r="E116" s="18" t="n">
        <v>0.3</v>
      </c>
      <c r="F116" s="19" t="n">
        <f aca="false">INDEX($C116:$E116,1,Scenario)</f>
        <v>0.3</v>
      </c>
      <c r="G116" s="3" t="s">
        <v>80</v>
      </c>
      <c r="H116" s="3" t="s">
        <v>208</v>
      </c>
    </row>
    <row r="117" customFormat="false" ht="15" hidden="false" customHeight="false" outlineLevel="0" collapsed="false">
      <c r="A117" s="3" t="s">
        <v>211</v>
      </c>
      <c r="B117" s="3" t="s">
        <v>66</v>
      </c>
      <c r="C117" s="18" t="n">
        <v>0.4</v>
      </c>
      <c r="D117" s="18" t="n">
        <v>0.4</v>
      </c>
      <c r="E117" s="18" t="n">
        <v>0.4</v>
      </c>
      <c r="F117" s="19" t="n">
        <f aca="false">INDEX($C117:$E117,1,Scenario)</f>
        <v>0.4</v>
      </c>
      <c r="G117" s="3" t="s">
        <v>80</v>
      </c>
      <c r="H117" s="3" t="s">
        <v>208</v>
      </c>
    </row>
    <row r="118" customFormat="false" ht="15" hidden="false" customHeight="false" outlineLevel="0" collapsed="false">
      <c r="A118" s="3" t="s">
        <v>212</v>
      </c>
      <c r="B118" s="3" t="s">
        <v>66</v>
      </c>
      <c r="C118" s="18" t="n">
        <v>0.04</v>
      </c>
      <c r="D118" s="18" t="n">
        <v>0.04</v>
      </c>
      <c r="E118" s="18" t="n">
        <v>0.04</v>
      </c>
      <c r="F118" s="19" t="n">
        <f aca="false">INDEX($C118:$E118,1,Scenario)</f>
        <v>0.04</v>
      </c>
      <c r="G118" s="3" t="s">
        <v>80</v>
      </c>
      <c r="H118" s="3" t="s">
        <v>208</v>
      </c>
    </row>
    <row r="119" customFormat="false" ht="15" hidden="false" customHeight="false" outlineLevel="0" collapsed="false">
      <c r="A119" s="3" t="s">
        <v>213</v>
      </c>
      <c r="B119" s="3" t="s">
        <v>66</v>
      </c>
      <c r="C119" s="18" t="n">
        <v>0.07</v>
      </c>
      <c r="D119" s="18" t="n">
        <v>0.07</v>
      </c>
      <c r="E119" s="18" t="n">
        <v>0.07</v>
      </c>
      <c r="F119" s="19" t="n">
        <f aca="false">INDEX($C119:$E119,1,Scenario)</f>
        <v>0.07</v>
      </c>
      <c r="G119" s="3" t="s">
        <v>80</v>
      </c>
      <c r="H119" s="3" t="s">
        <v>208</v>
      </c>
    </row>
    <row r="120" customFormat="false" ht="15" hidden="false" customHeight="false" outlineLevel="0" collapsed="false">
      <c r="A120" s="3" t="s">
        <v>214</v>
      </c>
      <c r="B120" s="3" t="s">
        <v>62</v>
      </c>
      <c r="C120" s="16" t="n">
        <v>11</v>
      </c>
      <c r="D120" s="16" t="n">
        <v>11</v>
      </c>
      <c r="E120" s="16" t="n">
        <v>11</v>
      </c>
      <c r="F120" s="17" t="n">
        <f aca="false">INDEX($C120:$E120,1,Scenario)</f>
        <v>11</v>
      </c>
      <c r="G120" s="3" t="s">
        <v>80</v>
      </c>
      <c r="H120" s="3" t="s">
        <v>208</v>
      </c>
    </row>
    <row r="121" customFormat="false" ht="15" hidden="false" customHeight="false" outlineLevel="0" collapsed="false">
      <c r="A121" s="3" t="s">
        <v>215</v>
      </c>
      <c r="B121" s="3" t="s">
        <v>62</v>
      </c>
      <c r="C121" s="16" t="n">
        <v>8</v>
      </c>
      <c r="D121" s="16" t="n">
        <v>8</v>
      </c>
      <c r="E121" s="16" t="n">
        <v>8</v>
      </c>
      <c r="F121" s="17" t="n">
        <f aca="false">INDEX($C121:$E121,1,Scenario)</f>
        <v>8</v>
      </c>
      <c r="G121" s="3" t="s">
        <v>80</v>
      </c>
      <c r="H121" s="3" t="s">
        <v>208</v>
      </c>
    </row>
    <row r="122" customFormat="false" ht="15" hidden="false" customHeight="false" outlineLevel="0" collapsed="false">
      <c r="A122" s="3" t="s">
        <v>216</v>
      </c>
      <c r="B122" s="3" t="s">
        <v>186</v>
      </c>
      <c r="C122" s="25" t="n">
        <v>4</v>
      </c>
      <c r="D122" s="25" t="n">
        <v>4</v>
      </c>
      <c r="E122" s="25" t="n">
        <v>4</v>
      </c>
      <c r="F122" s="26" t="n">
        <f aca="false">INDEX($C122:$E122,1,Scenario)</f>
        <v>4</v>
      </c>
      <c r="G122" s="3" t="s">
        <v>80</v>
      </c>
      <c r="H122" s="3" t="s">
        <v>208</v>
      </c>
    </row>
    <row r="123" customFormat="false" ht="15" hidden="false" customHeight="false" outlineLevel="0" collapsed="false">
      <c r="A123" s="3" t="s">
        <v>217</v>
      </c>
      <c r="B123" s="3" t="s">
        <v>186</v>
      </c>
      <c r="C123" s="25" t="n">
        <v>2</v>
      </c>
      <c r="D123" s="25" t="n">
        <v>2</v>
      </c>
      <c r="E123" s="25" t="n">
        <v>2</v>
      </c>
      <c r="F123" s="26" t="n">
        <f aca="false">INDEX($C123:$E123,1,Scenario)</f>
        <v>2</v>
      </c>
      <c r="G123" s="3" t="s">
        <v>80</v>
      </c>
      <c r="H123" s="3" t="s">
        <v>208</v>
      </c>
    </row>
    <row r="124" customFormat="false" ht="15" hidden="false" customHeight="false" outlineLevel="0" collapsed="false">
      <c r="A124" s="3" t="s">
        <v>218</v>
      </c>
      <c r="B124" s="3" t="s">
        <v>193</v>
      </c>
      <c r="C124" s="12" t="n">
        <v>14</v>
      </c>
      <c r="D124" s="12" t="n">
        <v>14</v>
      </c>
      <c r="E124" s="12" t="n">
        <v>14</v>
      </c>
      <c r="F124" s="22" t="n">
        <f aca="false">INDEX($C124:$E124,1,Scenario)</f>
        <v>14</v>
      </c>
      <c r="G124" s="3" t="s">
        <v>80</v>
      </c>
      <c r="H124" s="3" t="s">
        <v>208</v>
      </c>
    </row>
    <row r="125" customFormat="false" ht="15" hidden="false" customHeight="false" outlineLevel="0" collapsed="false">
      <c r="A125" s="3" t="s">
        <v>219</v>
      </c>
      <c r="B125" s="3" t="s">
        <v>62</v>
      </c>
      <c r="C125" s="28" t="n">
        <v>70000</v>
      </c>
      <c r="D125" s="28" t="n">
        <v>70000</v>
      </c>
      <c r="E125" s="28" t="n">
        <v>70000</v>
      </c>
      <c r="F125" s="29" t="n">
        <f aca="false">INDEX($C125:$E125,1,Scenario)</f>
        <v>70000</v>
      </c>
      <c r="G125" s="3" t="s">
        <v>80</v>
      </c>
      <c r="H125" s="3" t="s">
        <v>208</v>
      </c>
    </row>
    <row r="126" customFormat="false" ht="15" hidden="false" customHeight="false" outlineLevel="0" collapsed="false">
      <c r="A126" s="3" t="s">
        <v>220</v>
      </c>
      <c r="B126" s="3" t="s">
        <v>62</v>
      </c>
      <c r="C126" s="28" t="n">
        <v>50000</v>
      </c>
      <c r="D126" s="28" t="n">
        <v>50000</v>
      </c>
      <c r="E126" s="28" t="n">
        <v>50000</v>
      </c>
      <c r="F126" s="29" t="n">
        <f aca="false">INDEX($C126:$E126,1,Scenario)</f>
        <v>50000</v>
      </c>
      <c r="G126" s="3" t="s">
        <v>80</v>
      </c>
      <c r="H126" s="3" t="s">
        <v>208</v>
      </c>
    </row>
    <row r="127" customFormat="false" ht="15" hidden="false" customHeight="false" outlineLevel="0" collapsed="false">
      <c r="A127" s="3" t="s">
        <v>221</v>
      </c>
      <c r="B127" s="3" t="s">
        <v>62</v>
      </c>
      <c r="C127" s="16" t="n">
        <v>0</v>
      </c>
      <c r="D127" s="16" t="n">
        <v>0</v>
      </c>
      <c r="E127" s="16" t="n">
        <v>0</v>
      </c>
      <c r="F127" s="17" t="n">
        <f aca="false">INDEX($C127:$E127,1,Scenario)</f>
        <v>0</v>
      </c>
      <c r="G127" s="3" t="s">
        <v>80</v>
      </c>
      <c r="H127" s="3" t="s">
        <v>208</v>
      </c>
    </row>
    <row r="128" customFormat="false" ht="15" hidden="false" customHeight="false" outlineLevel="0" collapsed="false">
      <c r="A128" s="3" t="s">
        <v>222</v>
      </c>
      <c r="B128" s="3" t="s">
        <v>62</v>
      </c>
      <c r="C128" s="28" t="n">
        <v>-25000</v>
      </c>
      <c r="D128" s="28" t="n">
        <v>-25000</v>
      </c>
      <c r="E128" s="28" t="n">
        <v>-25000</v>
      </c>
      <c r="F128" s="29" t="n">
        <f aca="false">INDEX($C128:$E128,1,Scenario)</f>
        <v>-25000</v>
      </c>
      <c r="G128" s="3" t="s">
        <v>80</v>
      </c>
      <c r="H128" s="3" t="s">
        <v>208</v>
      </c>
    </row>
    <row r="129" customFormat="false" ht="15" hidden="false" customHeight="false" outlineLevel="0" collapsed="false">
      <c r="A129" s="3" t="s">
        <v>223</v>
      </c>
      <c r="B129" s="3" t="s">
        <v>66</v>
      </c>
      <c r="C129" s="18" t="n">
        <v>0.15</v>
      </c>
      <c r="D129" s="18" t="n">
        <v>0.15</v>
      </c>
      <c r="E129" s="18" t="n">
        <v>0.15</v>
      </c>
      <c r="F129" s="19" t="n">
        <f aca="false">INDEX($C129:$E129,1,Scenario)</f>
        <v>0.15</v>
      </c>
      <c r="G129" s="3" t="s">
        <v>80</v>
      </c>
      <c r="H129" s="3" t="s">
        <v>208</v>
      </c>
    </row>
    <row r="130" customFormat="false" ht="15" hidden="false" customHeight="false" outlineLevel="0" collapsed="false">
      <c r="A130" s="3" t="s">
        <v>224</v>
      </c>
      <c r="B130" s="3" t="s">
        <v>66</v>
      </c>
      <c r="C130" s="18" t="n">
        <v>0.25</v>
      </c>
      <c r="D130" s="18" t="n">
        <v>0.25</v>
      </c>
      <c r="E130" s="18" t="n">
        <v>0.25</v>
      </c>
      <c r="F130" s="19" t="n">
        <f aca="false">INDEX($C130:$E130,1,Scenario)</f>
        <v>0.25</v>
      </c>
      <c r="G130" s="3" t="s">
        <v>80</v>
      </c>
      <c r="H130" s="3" t="s">
        <v>208</v>
      </c>
    </row>
    <row r="131" customFormat="false" ht="15" hidden="false" customHeight="false" outlineLevel="0" collapsed="false">
      <c r="A131" s="3" t="s">
        <v>225</v>
      </c>
      <c r="B131" s="3" t="s">
        <v>66</v>
      </c>
      <c r="C131" s="18" t="n">
        <v>0.03</v>
      </c>
      <c r="D131" s="18" t="n">
        <v>0.03</v>
      </c>
      <c r="E131" s="18" t="n">
        <v>0.03</v>
      </c>
      <c r="F131" s="19" t="n">
        <f aca="false">INDEX($C131:$E131,1,Scenario)</f>
        <v>0.03</v>
      </c>
      <c r="G131" s="3" t="s">
        <v>80</v>
      </c>
      <c r="H131" s="3" t="s">
        <v>208</v>
      </c>
    </row>
    <row r="132" customFormat="false" ht="15" hidden="false" customHeight="false" outlineLevel="0" collapsed="false">
      <c r="A132" s="3" t="s">
        <v>226</v>
      </c>
      <c r="B132" s="3" t="s">
        <v>66</v>
      </c>
      <c r="C132" s="18" t="n">
        <v>0.05</v>
      </c>
      <c r="D132" s="18" t="n">
        <v>0.05</v>
      </c>
      <c r="E132" s="18" t="n">
        <v>0.05</v>
      </c>
      <c r="F132" s="19" t="n">
        <f aca="false">INDEX($C132:$E132,1,Scenario)</f>
        <v>0.05</v>
      </c>
      <c r="G132" s="3" t="s">
        <v>80</v>
      </c>
      <c r="H132" s="3" t="s">
        <v>208</v>
      </c>
    </row>
    <row r="133" customFormat="false" ht="15" hidden="false" customHeight="false" outlineLevel="0" collapsed="false">
      <c r="A133" s="3" t="s">
        <v>227</v>
      </c>
      <c r="B133" s="3" t="s">
        <v>62</v>
      </c>
      <c r="C133" s="28" t="n">
        <v>50000</v>
      </c>
      <c r="D133" s="28" t="n">
        <v>50000</v>
      </c>
      <c r="E133" s="28" t="n">
        <v>50000</v>
      </c>
      <c r="F133" s="29" t="n">
        <f aca="false">INDEX($C133:$E133,1,Scenario)</f>
        <v>50000</v>
      </c>
      <c r="G133" s="3" t="s">
        <v>80</v>
      </c>
      <c r="H133" s="3" t="s">
        <v>208</v>
      </c>
    </row>
    <row r="135" customFormat="false" ht="15" hidden="false" customHeight="false" outlineLevel="0" collapsed="false">
      <c r="A135" s="5" t="s">
        <v>228</v>
      </c>
      <c r="B135" s="15"/>
      <c r="C135" s="15"/>
      <c r="D135" s="15"/>
      <c r="E135" s="15"/>
      <c r="F135" s="15"/>
      <c r="G135" s="15"/>
      <c r="H135" s="15"/>
    </row>
    <row r="136" customFormat="false" ht="15" hidden="false" customHeight="false" outlineLevel="0" collapsed="false">
      <c r="A136" s="14" t="s">
        <v>229</v>
      </c>
      <c r="B136" s="14" t="s">
        <v>230</v>
      </c>
      <c r="C136" s="14" t="s">
        <v>54</v>
      </c>
      <c r="D136" s="14" t="s">
        <v>55</v>
      </c>
      <c r="E136" s="14" t="s">
        <v>56</v>
      </c>
      <c r="F136" s="14" t="s">
        <v>57</v>
      </c>
      <c r="G136" s="14" t="s">
        <v>58</v>
      </c>
      <c r="H136" s="14" t="s">
        <v>59</v>
      </c>
      <c r="I136" s="14" t="s">
        <v>231</v>
      </c>
    </row>
    <row r="137" customFormat="false" ht="15" hidden="false" customHeight="false" outlineLevel="0" collapsed="false">
      <c r="A137" s="3" t="s">
        <v>232</v>
      </c>
      <c r="B137" s="30" t="n">
        <v>1</v>
      </c>
      <c r="C137" s="31" t="n">
        <f aca="false">ROUND($I137*C$18*IF(AND($B137&gt;=C$30,$B137&lt;=C$30+2),C$29,1),0)</f>
        <v>90</v>
      </c>
      <c r="D137" s="31" t="n">
        <f aca="false">ROUND($I137*D$18*IF(AND($B137&gt;=D$30,$B137&lt;=D$30+2),D$29,1),0)</f>
        <v>150</v>
      </c>
      <c r="E137" s="31" t="n">
        <f aca="false">ROUND($I137*E$18*IF(AND($B137&gt;=E$30,$B137&lt;=E$30+2),E$29,1),0)</f>
        <v>233</v>
      </c>
      <c r="F137" s="24" t="n">
        <f aca="false">INDEX($C137:$E137,1,Scenario)</f>
        <v>150</v>
      </c>
      <c r="G137" s="3" t="s">
        <v>63</v>
      </c>
      <c r="H137" s="3" t="s">
        <v>233</v>
      </c>
      <c r="I137" s="23" t="n">
        <v>150</v>
      </c>
    </row>
    <row r="138" customFormat="false" ht="15" hidden="false" customHeight="false" outlineLevel="0" collapsed="false">
      <c r="A138" s="3" t="s">
        <v>234</v>
      </c>
      <c r="B138" s="30" t="n">
        <v>2</v>
      </c>
      <c r="C138" s="31" t="n">
        <f aca="false">ROUND($I138*C$18*IF(AND($B138&gt;=C$30,$B138&lt;=C$30+2),C$29,1),0)</f>
        <v>144</v>
      </c>
      <c r="D138" s="31" t="n">
        <f aca="false">ROUND($I138*D$18*IF(AND($B138&gt;=D$30,$B138&lt;=D$30+2),D$29,1),0)</f>
        <v>240</v>
      </c>
      <c r="E138" s="31" t="n">
        <f aca="false">ROUND($I138*E$18*IF(AND($B138&gt;=E$30,$B138&lt;=E$30+2),E$29,1),0)</f>
        <v>372</v>
      </c>
      <c r="F138" s="24" t="n">
        <f aca="false">INDEX($C138:$E138,1,Scenario)</f>
        <v>240</v>
      </c>
      <c r="G138" s="3" t="s">
        <v>63</v>
      </c>
      <c r="H138" s="3" t="s">
        <v>233</v>
      </c>
      <c r="I138" s="23" t="n">
        <v>240</v>
      </c>
    </row>
    <row r="139" customFormat="false" ht="15" hidden="false" customHeight="false" outlineLevel="0" collapsed="false">
      <c r="A139" s="3" t="s">
        <v>235</v>
      </c>
      <c r="B139" s="30" t="n">
        <v>3</v>
      </c>
      <c r="C139" s="31" t="n">
        <f aca="false">ROUND($I139*C$18*IF(AND($B139&gt;=C$30,$B139&lt;=C$30+2),C$29,1),0)</f>
        <v>216</v>
      </c>
      <c r="D139" s="31" t="n">
        <f aca="false">ROUND($I139*D$18*IF(AND($B139&gt;=D$30,$B139&lt;=D$30+2),D$29,1),0)</f>
        <v>360</v>
      </c>
      <c r="E139" s="31" t="n">
        <f aca="false">ROUND($I139*E$18*IF(AND($B139&gt;=E$30,$B139&lt;=E$30+2),E$29,1),0)</f>
        <v>558</v>
      </c>
      <c r="F139" s="24" t="n">
        <f aca="false">INDEX($C139:$E139,1,Scenario)</f>
        <v>360</v>
      </c>
      <c r="G139" s="3" t="s">
        <v>63</v>
      </c>
      <c r="H139" s="3" t="s">
        <v>233</v>
      </c>
      <c r="I139" s="23" t="n">
        <v>360</v>
      </c>
    </row>
    <row r="140" customFormat="false" ht="15" hidden="false" customHeight="false" outlineLevel="0" collapsed="false">
      <c r="A140" s="3" t="s">
        <v>236</v>
      </c>
      <c r="B140" s="30" t="n">
        <v>4</v>
      </c>
      <c r="C140" s="31" t="n">
        <f aca="false">ROUND($I140*C$18*IF(AND($B140&gt;=C$30,$B140&lt;=C$30+2),C$29,1),0)</f>
        <v>300</v>
      </c>
      <c r="D140" s="31" t="n">
        <f aca="false">ROUND($I140*D$18*IF(AND($B140&gt;=D$30,$B140&lt;=D$30+2),D$29,1),0)</f>
        <v>500</v>
      </c>
      <c r="E140" s="31" t="n">
        <f aca="false">ROUND($I140*E$18*IF(AND($B140&gt;=E$30,$B140&lt;=E$30+2),E$29,1),0)</f>
        <v>775</v>
      </c>
      <c r="F140" s="24" t="n">
        <f aca="false">INDEX($C140:$E140,1,Scenario)</f>
        <v>500</v>
      </c>
      <c r="G140" s="3" t="s">
        <v>63</v>
      </c>
      <c r="H140" s="3" t="s">
        <v>233</v>
      </c>
      <c r="I140" s="23" t="n">
        <v>500</v>
      </c>
    </row>
    <row r="141" customFormat="false" ht="15" hidden="false" customHeight="false" outlineLevel="0" collapsed="false">
      <c r="A141" s="3" t="s">
        <v>237</v>
      </c>
      <c r="B141" s="30" t="n">
        <v>5</v>
      </c>
      <c r="C141" s="31" t="n">
        <f aca="false">ROUND($I141*C$18*IF(AND($B141&gt;=C$30,$B141&lt;=C$30+2),C$29,1),0)</f>
        <v>390</v>
      </c>
      <c r="D141" s="31" t="n">
        <f aca="false">ROUND($I141*D$18*IF(AND($B141&gt;=D$30,$B141&lt;=D$30+2),D$29,1),0)</f>
        <v>650</v>
      </c>
      <c r="E141" s="31" t="n">
        <f aca="false">ROUND($I141*E$18*IF(AND($B141&gt;=E$30,$B141&lt;=E$30+2),E$29,1),0)</f>
        <v>1008</v>
      </c>
      <c r="F141" s="24" t="n">
        <f aca="false">INDEX($C141:$E141,1,Scenario)</f>
        <v>650</v>
      </c>
      <c r="G141" s="3" t="s">
        <v>63</v>
      </c>
      <c r="H141" s="3" t="s">
        <v>233</v>
      </c>
      <c r="I141" s="23" t="n">
        <v>650</v>
      </c>
    </row>
    <row r="142" customFormat="false" ht="15" hidden="false" customHeight="false" outlineLevel="0" collapsed="false">
      <c r="A142" s="3" t="s">
        <v>238</v>
      </c>
      <c r="B142" s="30" t="n">
        <v>6</v>
      </c>
      <c r="C142" s="31" t="n">
        <f aca="false">ROUND($I142*C$18*IF(AND($B142&gt;=C$30,$B142&lt;=C$30+2),C$29,1),0)</f>
        <v>492</v>
      </c>
      <c r="D142" s="31" t="n">
        <f aca="false">ROUND($I142*D$18*IF(AND($B142&gt;=D$30,$B142&lt;=D$30+2),D$29,1),0)</f>
        <v>820</v>
      </c>
      <c r="E142" s="31" t="n">
        <f aca="false">ROUND($I142*E$18*IF(AND($B142&gt;=E$30,$B142&lt;=E$30+2),E$29,1),0)</f>
        <v>1271</v>
      </c>
      <c r="F142" s="24" t="n">
        <f aca="false">INDEX($C142:$E142,1,Scenario)</f>
        <v>820</v>
      </c>
      <c r="G142" s="3" t="s">
        <v>63</v>
      </c>
      <c r="H142" s="3" t="s">
        <v>233</v>
      </c>
      <c r="I142" s="23" t="n">
        <v>820</v>
      </c>
    </row>
    <row r="143" customFormat="false" ht="15" hidden="false" customHeight="false" outlineLevel="0" collapsed="false">
      <c r="A143" s="3" t="s">
        <v>239</v>
      </c>
      <c r="B143" s="30" t="n">
        <v>7</v>
      </c>
      <c r="C143" s="31" t="n">
        <f aca="false">ROUND($I143*C$18*IF(AND($B143&gt;=C$30,$B143&lt;=C$30+2),C$29,1),0)</f>
        <v>600</v>
      </c>
      <c r="D143" s="31" t="n">
        <f aca="false">ROUND($I143*D$18*IF(AND($B143&gt;=D$30,$B143&lt;=D$30+2),D$29,1),0)</f>
        <v>1000</v>
      </c>
      <c r="E143" s="31" t="n">
        <f aca="false">ROUND($I143*E$18*IF(AND($B143&gt;=E$30,$B143&lt;=E$30+2),E$29,1),0)</f>
        <v>1550</v>
      </c>
      <c r="F143" s="24" t="n">
        <f aca="false">INDEX($C143:$E143,1,Scenario)</f>
        <v>1000</v>
      </c>
      <c r="G143" s="3" t="s">
        <v>63</v>
      </c>
      <c r="H143" s="3" t="s">
        <v>233</v>
      </c>
      <c r="I143" s="23" t="n">
        <v>1000</v>
      </c>
    </row>
    <row r="144" customFormat="false" ht="15" hidden="false" customHeight="false" outlineLevel="0" collapsed="false">
      <c r="A144" s="3" t="s">
        <v>240</v>
      </c>
      <c r="B144" s="30" t="n">
        <v>8</v>
      </c>
      <c r="C144" s="31" t="n">
        <f aca="false">ROUND($I144*C$18*IF(AND($B144&gt;=C$30,$B144&lt;=C$30+2),C$29,1),0)</f>
        <v>720</v>
      </c>
      <c r="D144" s="31" t="n">
        <f aca="false">ROUND($I144*D$18*IF(AND($B144&gt;=D$30,$B144&lt;=D$30+2),D$29,1),0)</f>
        <v>1200</v>
      </c>
      <c r="E144" s="31" t="n">
        <f aca="false">ROUND($I144*E$18*IF(AND($B144&gt;=E$30,$B144&lt;=E$30+2),E$29,1),0)</f>
        <v>1860</v>
      </c>
      <c r="F144" s="24" t="n">
        <f aca="false">INDEX($C144:$E144,1,Scenario)</f>
        <v>1200</v>
      </c>
      <c r="G144" s="3" t="s">
        <v>63</v>
      </c>
      <c r="H144" s="3" t="s">
        <v>233</v>
      </c>
      <c r="I144" s="23" t="n">
        <v>1200</v>
      </c>
    </row>
    <row r="145" customFormat="false" ht="15" hidden="false" customHeight="false" outlineLevel="0" collapsed="false">
      <c r="A145" s="3" t="s">
        <v>241</v>
      </c>
      <c r="B145" s="30" t="n">
        <v>9</v>
      </c>
      <c r="C145" s="31" t="n">
        <f aca="false">ROUND($I145*C$18*IF(AND($B145&gt;=C$30,$B145&lt;=C$30+2),C$29,1),0)</f>
        <v>840</v>
      </c>
      <c r="D145" s="31" t="n">
        <f aca="false">ROUND($I145*D$18*IF(AND($B145&gt;=D$30,$B145&lt;=D$30+2),D$29,1),0)</f>
        <v>1400</v>
      </c>
      <c r="E145" s="31" t="n">
        <f aca="false">ROUND($I145*E$18*IF(AND($B145&gt;=E$30,$B145&lt;=E$30+2),E$29,1),0)</f>
        <v>2170</v>
      </c>
      <c r="F145" s="24" t="n">
        <f aca="false">INDEX($C145:$E145,1,Scenario)</f>
        <v>1400</v>
      </c>
      <c r="G145" s="3" t="s">
        <v>63</v>
      </c>
      <c r="H145" s="3" t="s">
        <v>233</v>
      </c>
      <c r="I145" s="23" t="n">
        <v>1400</v>
      </c>
    </row>
    <row r="146" customFormat="false" ht="15" hidden="false" customHeight="false" outlineLevel="0" collapsed="false">
      <c r="A146" s="3" t="s">
        <v>242</v>
      </c>
      <c r="B146" s="30" t="n">
        <v>10</v>
      </c>
      <c r="C146" s="31" t="n">
        <f aca="false">ROUND($I146*C$18*IF(AND($B146&gt;=C$30,$B146&lt;=C$30+2),C$29,1),0)</f>
        <v>960</v>
      </c>
      <c r="D146" s="31" t="n">
        <f aca="false">ROUND($I146*D$18*IF(AND($B146&gt;=D$30,$B146&lt;=D$30+2),D$29,1),0)</f>
        <v>1600</v>
      </c>
      <c r="E146" s="31" t="n">
        <f aca="false">ROUND($I146*E$18*IF(AND($B146&gt;=E$30,$B146&lt;=E$30+2),E$29,1),0)</f>
        <v>2480</v>
      </c>
      <c r="F146" s="24" t="n">
        <f aca="false">INDEX($C146:$E146,1,Scenario)</f>
        <v>1600</v>
      </c>
      <c r="G146" s="3" t="s">
        <v>63</v>
      </c>
      <c r="H146" s="3" t="s">
        <v>233</v>
      </c>
      <c r="I146" s="23" t="n">
        <v>1600</v>
      </c>
    </row>
    <row r="147" customFormat="false" ht="15" hidden="false" customHeight="false" outlineLevel="0" collapsed="false">
      <c r="A147" s="3" t="s">
        <v>243</v>
      </c>
      <c r="B147" s="30" t="n">
        <v>11</v>
      </c>
      <c r="C147" s="31" t="n">
        <f aca="false">ROUND($I147*C$18*IF(AND($B147&gt;=C$30,$B147&lt;=C$30+2),C$29,1),0)</f>
        <v>1080</v>
      </c>
      <c r="D147" s="31" t="n">
        <f aca="false">ROUND($I147*D$18*IF(AND($B147&gt;=D$30,$B147&lt;=D$30+2),D$29,1),0)</f>
        <v>1800</v>
      </c>
      <c r="E147" s="31" t="n">
        <f aca="false">ROUND($I147*E$18*IF(AND($B147&gt;=E$30,$B147&lt;=E$30+2),E$29,1),0)</f>
        <v>2790</v>
      </c>
      <c r="F147" s="24" t="n">
        <f aca="false">INDEX($C147:$E147,1,Scenario)</f>
        <v>1800</v>
      </c>
      <c r="G147" s="3" t="s">
        <v>63</v>
      </c>
      <c r="H147" s="3" t="s">
        <v>233</v>
      </c>
      <c r="I147" s="23" t="n">
        <v>1800</v>
      </c>
    </row>
    <row r="148" customFormat="false" ht="15" hidden="false" customHeight="false" outlineLevel="0" collapsed="false">
      <c r="A148" s="3" t="s">
        <v>244</v>
      </c>
      <c r="B148" s="30" t="n">
        <v>12</v>
      </c>
      <c r="C148" s="31" t="n">
        <f aca="false">ROUND($I148*C$18*IF(AND($B148&gt;=C$30,$B148&lt;=C$30+2),C$29,1),0)</f>
        <v>1230</v>
      </c>
      <c r="D148" s="31" t="n">
        <f aca="false">ROUND($I148*D$18*IF(AND($B148&gt;=D$30,$B148&lt;=D$30+2),D$29,1),0)</f>
        <v>2050</v>
      </c>
      <c r="E148" s="31" t="n">
        <f aca="false">ROUND($I148*E$18*IF(AND($B148&gt;=E$30,$B148&lt;=E$30+2),E$29,1),0)</f>
        <v>3178</v>
      </c>
      <c r="F148" s="24" t="n">
        <f aca="false">INDEX($C148:$E148,1,Scenario)</f>
        <v>2050</v>
      </c>
      <c r="G148" s="3" t="s">
        <v>63</v>
      </c>
      <c r="H148" s="3" t="s">
        <v>233</v>
      </c>
      <c r="I148" s="23" t="n">
        <v>2050</v>
      </c>
    </row>
    <row r="149" customFormat="false" ht="15" hidden="false" customHeight="false" outlineLevel="0" collapsed="false">
      <c r="A149" s="3" t="s">
        <v>245</v>
      </c>
      <c r="B149" s="30" t="n">
        <v>13</v>
      </c>
      <c r="C149" s="31" t="n">
        <f aca="false">ROUND($I149*C$18*IF(AND($B149&gt;=C$30,$B149&lt;=C$30+2),C$29,1),0)</f>
        <v>1350</v>
      </c>
      <c r="D149" s="31" t="n">
        <f aca="false">ROUND($I149*D$18*IF(AND($B149&gt;=D$30,$B149&lt;=D$30+2),D$29,1),0)</f>
        <v>2250</v>
      </c>
      <c r="E149" s="31" t="n">
        <f aca="false">ROUND($I149*E$18*IF(AND($B149&gt;=E$30,$B149&lt;=E$30+2),E$29,1),0)</f>
        <v>3488</v>
      </c>
      <c r="F149" s="24" t="n">
        <f aca="false">INDEX($C149:$E149,1,Scenario)</f>
        <v>2250</v>
      </c>
      <c r="G149" s="3" t="s">
        <v>63</v>
      </c>
      <c r="H149" s="3" t="s">
        <v>233</v>
      </c>
      <c r="I149" s="23" t="n">
        <v>2250</v>
      </c>
    </row>
    <row r="150" customFormat="false" ht="15" hidden="false" customHeight="false" outlineLevel="0" collapsed="false">
      <c r="A150" s="3" t="s">
        <v>246</v>
      </c>
      <c r="B150" s="30" t="n">
        <v>14</v>
      </c>
      <c r="C150" s="31" t="n">
        <f aca="false">ROUND($I150*C$18*IF(AND($B150&gt;=C$30,$B150&lt;=C$30+2),C$29,1),0)</f>
        <v>1470</v>
      </c>
      <c r="D150" s="31" t="n">
        <f aca="false">ROUND($I150*D$18*IF(AND($B150&gt;=D$30,$B150&lt;=D$30+2),D$29,1),0)</f>
        <v>2450</v>
      </c>
      <c r="E150" s="31" t="n">
        <f aca="false">ROUND($I150*E$18*IF(AND($B150&gt;=E$30,$B150&lt;=E$30+2),E$29,1),0)</f>
        <v>3798</v>
      </c>
      <c r="F150" s="24" t="n">
        <f aca="false">INDEX($C150:$E150,1,Scenario)</f>
        <v>2450</v>
      </c>
      <c r="G150" s="3" t="s">
        <v>63</v>
      </c>
      <c r="H150" s="3" t="s">
        <v>233</v>
      </c>
      <c r="I150" s="23" t="n">
        <v>2450</v>
      </c>
    </row>
    <row r="151" customFormat="false" ht="15" hidden="false" customHeight="false" outlineLevel="0" collapsed="false">
      <c r="A151" s="3" t="s">
        <v>247</v>
      </c>
      <c r="B151" s="30" t="n">
        <v>15</v>
      </c>
      <c r="C151" s="31" t="n">
        <f aca="false">ROUND($I151*C$18*IF(AND($B151&gt;=C$30,$B151&lt;=C$30+2),C$29,1),0)</f>
        <v>1560</v>
      </c>
      <c r="D151" s="31" t="n">
        <f aca="false">ROUND($I151*D$18*IF(AND($B151&gt;=D$30,$B151&lt;=D$30+2),D$29,1),0)</f>
        <v>2600</v>
      </c>
      <c r="E151" s="31" t="n">
        <f aca="false">ROUND($I151*E$18*IF(AND($B151&gt;=E$30,$B151&lt;=E$30+2),E$29,1),0)</f>
        <v>4030</v>
      </c>
      <c r="F151" s="24" t="n">
        <f aca="false">INDEX($C151:$E151,1,Scenario)</f>
        <v>2600</v>
      </c>
      <c r="G151" s="3" t="s">
        <v>63</v>
      </c>
      <c r="H151" s="3" t="s">
        <v>233</v>
      </c>
      <c r="I151" s="23" t="n">
        <v>2600</v>
      </c>
    </row>
    <row r="152" customFormat="false" ht="15" hidden="false" customHeight="false" outlineLevel="0" collapsed="false">
      <c r="A152" s="3" t="s">
        <v>248</v>
      </c>
      <c r="B152" s="30" t="n">
        <v>16</v>
      </c>
      <c r="C152" s="31" t="n">
        <f aca="false">ROUND($I152*C$18*IF(AND($B152&gt;=C$30,$B152&lt;=C$30+2),C$29,1),0)</f>
        <v>1650</v>
      </c>
      <c r="D152" s="31" t="n">
        <f aca="false">ROUND($I152*D$18*IF(AND($B152&gt;=D$30,$B152&lt;=D$30+2),D$29,1),0)</f>
        <v>2750</v>
      </c>
      <c r="E152" s="31" t="n">
        <f aca="false">ROUND($I152*E$18*IF(AND($B152&gt;=E$30,$B152&lt;=E$30+2),E$29,1),0)</f>
        <v>4263</v>
      </c>
      <c r="F152" s="24" t="n">
        <f aca="false">INDEX($C152:$E152,1,Scenario)</f>
        <v>2750</v>
      </c>
      <c r="G152" s="3" t="s">
        <v>63</v>
      </c>
      <c r="H152" s="3" t="s">
        <v>233</v>
      </c>
      <c r="I152" s="23" t="n">
        <v>2750</v>
      </c>
    </row>
    <row r="153" customFormat="false" ht="15" hidden="false" customHeight="false" outlineLevel="0" collapsed="false">
      <c r="A153" s="3" t="s">
        <v>249</v>
      </c>
      <c r="B153" s="30" t="n">
        <v>17</v>
      </c>
      <c r="C153" s="31" t="n">
        <f aca="false">ROUND($I153*C$18*IF(AND($B153&gt;=C$30,$B153&lt;=C$30+2),C$29,1),0)</f>
        <v>1740</v>
      </c>
      <c r="D153" s="31" t="n">
        <f aca="false">ROUND($I153*D$18*IF(AND($B153&gt;=D$30,$B153&lt;=D$30+2),D$29,1),0)</f>
        <v>2900</v>
      </c>
      <c r="E153" s="31" t="n">
        <f aca="false">ROUND($I153*E$18*IF(AND($B153&gt;=E$30,$B153&lt;=E$30+2),E$29,1),0)</f>
        <v>4495</v>
      </c>
      <c r="F153" s="24" t="n">
        <f aca="false">INDEX($C153:$E153,1,Scenario)</f>
        <v>2900</v>
      </c>
      <c r="G153" s="3" t="s">
        <v>63</v>
      </c>
      <c r="H153" s="3" t="s">
        <v>233</v>
      </c>
      <c r="I153" s="23" t="n">
        <v>2900</v>
      </c>
    </row>
    <row r="154" customFormat="false" ht="15" hidden="false" customHeight="false" outlineLevel="0" collapsed="false">
      <c r="A154" s="3" t="s">
        <v>250</v>
      </c>
      <c r="B154" s="30" t="n">
        <v>18</v>
      </c>
      <c r="C154" s="31" t="n">
        <f aca="false">ROUND($I154*C$18*IF(AND($B154&gt;=C$30,$B154&lt;=C$30+2),C$29,1),0)</f>
        <v>1830</v>
      </c>
      <c r="D154" s="31" t="n">
        <f aca="false">ROUND($I154*D$18*IF(AND($B154&gt;=D$30,$B154&lt;=D$30+2),D$29,1),0)</f>
        <v>3050</v>
      </c>
      <c r="E154" s="31" t="n">
        <f aca="false">ROUND($I154*E$18*IF(AND($B154&gt;=E$30,$B154&lt;=E$30+2),E$29,1),0)</f>
        <v>4728</v>
      </c>
      <c r="F154" s="24" t="n">
        <f aca="false">INDEX($C154:$E154,1,Scenario)</f>
        <v>3050</v>
      </c>
      <c r="G154" s="3" t="s">
        <v>63</v>
      </c>
      <c r="H154" s="3" t="s">
        <v>233</v>
      </c>
      <c r="I154" s="23" t="n">
        <v>3050</v>
      </c>
    </row>
    <row r="155" customFormat="false" ht="15" hidden="false" customHeight="false" outlineLevel="0" collapsed="false">
      <c r="A155" s="3" t="s">
        <v>251</v>
      </c>
      <c r="B155" s="30" t="n">
        <v>19</v>
      </c>
      <c r="C155" s="31" t="n">
        <f aca="false">ROUND((C$154+C$28*1)*IF(AND($B155&gt;=C$30,$B155&lt;=C$30+2),C$29,1),0)</f>
        <v>183</v>
      </c>
      <c r="D155" s="31" t="n">
        <f aca="false">ROUND((D$154+D$28*1)*IF(AND($B155&gt;=D$30,$B155&lt;=D$30+2),D$29,1),0)</f>
        <v>3150</v>
      </c>
      <c r="E155" s="31" t="n">
        <f aca="false">ROUND((E$154+E$28*1)*IF(AND($B155&gt;=E$30,$B155&lt;=E$30+2),E$29,1),0)</f>
        <v>4888</v>
      </c>
      <c r="F155" s="24" t="n">
        <f aca="false">INDEX($C155:$E155,1,Scenario)</f>
        <v>3150</v>
      </c>
      <c r="G155" s="3" t="s">
        <v>80</v>
      </c>
      <c r="H155" s="3" t="s">
        <v>252</v>
      </c>
    </row>
    <row r="156" customFormat="false" ht="15" hidden="false" customHeight="false" outlineLevel="0" collapsed="false">
      <c r="A156" s="3" t="s">
        <v>253</v>
      </c>
      <c r="B156" s="30" t="n">
        <v>20</v>
      </c>
      <c r="C156" s="31" t="n">
        <f aca="false">ROUND((C$154+C$28*2)*IF(AND($B156&gt;=C$30,$B156&lt;=C$30+2),C$29,1),0)</f>
        <v>183</v>
      </c>
      <c r="D156" s="31" t="n">
        <f aca="false">ROUND((D$154+D$28*2)*IF(AND($B156&gt;=D$30,$B156&lt;=D$30+2),D$29,1),0)</f>
        <v>3250</v>
      </c>
      <c r="E156" s="31" t="n">
        <f aca="false">ROUND((E$154+E$28*2)*IF(AND($B156&gt;=E$30,$B156&lt;=E$30+2),E$29,1),0)</f>
        <v>5048</v>
      </c>
      <c r="F156" s="24" t="n">
        <f aca="false">INDEX($C156:$E156,1,Scenario)</f>
        <v>3250</v>
      </c>
      <c r="G156" s="3" t="s">
        <v>80</v>
      </c>
      <c r="H156" s="3" t="s">
        <v>252</v>
      </c>
    </row>
    <row r="157" customFormat="false" ht="15" hidden="false" customHeight="false" outlineLevel="0" collapsed="false">
      <c r="A157" s="3" t="s">
        <v>254</v>
      </c>
      <c r="B157" s="30" t="n">
        <v>21</v>
      </c>
      <c r="C157" s="31" t="n">
        <f aca="false">ROUND((C$154+C$28*3)*IF(AND($B157&gt;=C$30,$B157&lt;=C$30+2),C$29,1),0)</f>
        <v>183</v>
      </c>
      <c r="D157" s="31" t="n">
        <f aca="false">ROUND((D$154+D$28*3)*IF(AND($B157&gt;=D$30,$B157&lt;=D$30+2),D$29,1),0)</f>
        <v>3350</v>
      </c>
      <c r="E157" s="31" t="n">
        <f aca="false">ROUND((E$154+E$28*3)*IF(AND($B157&gt;=E$30,$B157&lt;=E$30+2),E$29,1),0)</f>
        <v>5208</v>
      </c>
      <c r="F157" s="24" t="n">
        <f aca="false">INDEX($C157:$E157,1,Scenario)</f>
        <v>3350</v>
      </c>
      <c r="G157" s="3" t="s">
        <v>80</v>
      </c>
      <c r="H157" s="3" t="s">
        <v>252</v>
      </c>
    </row>
    <row r="158" customFormat="false" ht="15" hidden="false" customHeight="false" outlineLevel="0" collapsed="false">
      <c r="A158" s="3" t="s">
        <v>255</v>
      </c>
      <c r="B158" s="30" t="n">
        <v>22</v>
      </c>
      <c r="C158" s="31" t="n">
        <f aca="false">ROUND((C$154+C$28*4)*IF(AND($B158&gt;=C$30,$B158&lt;=C$30+2),C$29,1),0)</f>
        <v>1830</v>
      </c>
      <c r="D158" s="31" t="n">
        <f aca="false">ROUND((D$154+D$28*4)*IF(AND($B158&gt;=D$30,$B158&lt;=D$30+2),D$29,1),0)</f>
        <v>3450</v>
      </c>
      <c r="E158" s="31" t="n">
        <f aca="false">ROUND((E$154+E$28*4)*IF(AND($B158&gt;=E$30,$B158&lt;=E$30+2),E$29,1),0)</f>
        <v>5368</v>
      </c>
      <c r="F158" s="24" t="n">
        <f aca="false">INDEX($C158:$E158,1,Scenario)</f>
        <v>3450</v>
      </c>
      <c r="G158" s="3" t="s">
        <v>80</v>
      </c>
      <c r="H158" s="3" t="s">
        <v>252</v>
      </c>
    </row>
    <row r="159" customFormat="false" ht="15" hidden="false" customHeight="false" outlineLevel="0" collapsed="false">
      <c r="A159" s="3" t="s">
        <v>256</v>
      </c>
      <c r="B159" s="30" t="n">
        <v>23</v>
      </c>
      <c r="C159" s="31" t="n">
        <f aca="false">ROUND((C$154+C$28*5)*IF(AND($B159&gt;=C$30,$B159&lt;=C$30+2),C$29,1),0)</f>
        <v>1830</v>
      </c>
      <c r="D159" s="31" t="n">
        <f aca="false">ROUND((D$154+D$28*5)*IF(AND($B159&gt;=D$30,$B159&lt;=D$30+2),D$29,1),0)</f>
        <v>3550</v>
      </c>
      <c r="E159" s="31" t="n">
        <f aca="false">ROUND((E$154+E$28*5)*IF(AND($B159&gt;=E$30,$B159&lt;=E$30+2),E$29,1),0)</f>
        <v>5528</v>
      </c>
      <c r="F159" s="24" t="n">
        <f aca="false">INDEX($C159:$E159,1,Scenario)</f>
        <v>3550</v>
      </c>
      <c r="G159" s="3" t="s">
        <v>80</v>
      </c>
      <c r="H159" s="3" t="s">
        <v>252</v>
      </c>
    </row>
    <row r="160" customFormat="false" ht="15" hidden="false" customHeight="false" outlineLevel="0" collapsed="false">
      <c r="A160" s="3" t="s">
        <v>257</v>
      </c>
      <c r="B160" s="30" t="n">
        <v>24</v>
      </c>
      <c r="C160" s="31" t="n">
        <f aca="false">ROUND((C$154+C$28*6)*IF(AND($B160&gt;=C$30,$B160&lt;=C$30+2),C$29,1),0)</f>
        <v>1830</v>
      </c>
      <c r="D160" s="31" t="n">
        <f aca="false">ROUND((D$154+D$28*6)*IF(AND($B160&gt;=D$30,$B160&lt;=D$30+2),D$29,1),0)</f>
        <v>3650</v>
      </c>
      <c r="E160" s="31" t="n">
        <f aca="false">ROUND((E$154+E$28*6)*IF(AND($B160&gt;=E$30,$B160&lt;=E$30+2),E$29,1),0)</f>
        <v>5688</v>
      </c>
      <c r="F160" s="24" t="n">
        <f aca="false">INDEX($C160:$E160,1,Scenario)</f>
        <v>3650</v>
      </c>
      <c r="G160" s="3" t="s">
        <v>80</v>
      </c>
      <c r="H160" s="3" t="s">
        <v>252</v>
      </c>
    </row>
  </sheetData>
  <dataValidations count="3">
    <dataValidation allowBlank="false" error="Enter 1 (Low), 2 (Medium) or 3 (High)" errorStyle="stop" errorTitle="Scenario" operator="between" showDropDown="false" showErrorMessage="true" showInputMessage="false" sqref="C3" type="list">
      <formula1>"1,2,3"</formula1>
      <formula2>0</formula2>
    </dataValidation>
    <dataValidation allowBlank="false" error="Enter 1 (Copper), 2 (Fiber) or 3 (Stress)" errorStyle="stop" errorTitle="Duty scenario" operator="between" showDropDown="false" showErrorMessage="true" showInputMessage="false" sqref="C4" type="list">
      <formula1>"1,2,3"</formula1>
      <formula2>0</formula2>
    </dataValidation>
    <dataValidation allowBlank="false" error="Enter KRW per USD between 900 and 2,500 (scenarios 1300, 1430, 1550)" errorStyle="stop" errorTitle="FX" operator="between" showDropDown="false" showErrorMessage="true" showInputMessage="false" sqref="C5" type="whole">
      <formula1>900</formula1>
      <formula2>2500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5" min="2" style="1" width="16"/>
    <col collapsed="false" customWidth="true" hidden="false" outlineLevel="0" max="6" min="6" style="1" width="40"/>
  </cols>
  <sheetData>
    <row r="1" customFormat="false" ht="17.35" hidden="false" customHeight="false" outlineLevel="0" collapsed="false">
      <c r="A1" s="11" t="s">
        <v>20</v>
      </c>
    </row>
    <row r="2" customFormat="false" ht="15" hidden="false" customHeight="false" outlineLevel="0" collapsed="false">
      <c r="A2" s="4" t="s">
        <v>258</v>
      </c>
    </row>
    <row r="4" customFormat="false" ht="15" hidden="false" customHeight="false" outlineLevel="0" collapsed="false">
      <c r="A4" s="9" t="s">
        <v>259</v>
      </c>
      <c r="B4" s="32" t="n">
        <f aca="false">FXRate</f>
        <v>1430</v>
      </c>
    </row>
    <row r="6" customFormat="false" ht="15" hidden="false" customHeight="false" outlineLevel="0" collapsed="false">
      <c r="A6" s="14" t="s">
        <v>260</v>
      </c>
      <c r="B6" s="14" t="s">
        <v>57</v>
      </c>
      <c r="C6" s="14" t="s">
        <v>261</v>
      </c>
      <c r="D6" s="14" t="s">
        <v>262</v>
      </c>
      <c r="E6" s="14" t="s">
        <v>263</v>
      </c>
      <c r="F6" s="14" t="s">
        <v>58</v>
      </c>
    </row>
    <row r="7" customFormat="false" ht="15" hidden="false" customHeight="false" outlineLevel="0" collapsed="false">
      <c r="A7" s="3" t="s">
        <v>264</v>
      </c>
      <c r="B7" s="32" t="n">
        <f aca="false">FXRate</f>
        <v>1430</v>
      </c>
      <c r="C7" s="13" t="n">
        <v>1300</v>
      </c>
      <c r="D7" s="13" t="n">
        <v>1430</v>
      </c>
      <c r="E7" s="13" t="n">
        <v>1550</v>
      </c>
      <c r="F7" s="3" t="s">
        <v>265</v>
      </c>
    </row>
    <row r="8" customFormat="false" ht="15" hidden="false" customHeight="false" outlineLevel="0" collapsed="false">
      <c r="A8" s="5" t="s">
        <v>266</v>
      </c>
      <c r="B8" s="15"/>
      <c r="C8" s="15"/>
      <c r="D8" s="15"/>
      <c r="E8" s="15"/>
      <c r="F8" s="15"/>
    </row>
    <row r="9" customFormat="false" ht="15" hidden="false" customHeight="false" outlineLevel="0" collapsed="false">
      <c r="A9" s="3" t="s">
        <v>267</v>
      </c>
      <c r="B9" s="23" t="n">
        <v>1400</v>
      </c>
      <c r="F9" s="3" t="s">
        <v>268</v>
      </c>
    </row>
    <row r="10" customFormat="false" ht="15" hidden="false" customHeight="false" outlineLevel="0" collapsed="false">
      <c r="A10" s="3" t="s">
        <v>269</v>
      </c>
      <c r="B10" s="33" t="n">
        <v>19460000</v>
      </c>
      <c r="F10" s="3" t="s">
        <v>268</v>
      </c>
    </row>
    <row r="11" customFormat="false" ht="15" hidden="false" customHeight="false" outlineLevel="0" collapsed="false">
      <c r="A11" s="3" t="s">
        <v>270</v>
      </c>
      <c r="B11" s="33" t="n">
        <v>24400000</v>
      </c>
      <c r="F11" s="3" t="s">
        <v>268</v>
      </c>
    </row>
    <row r="12" customFormat="false" ht="15" hidden="false" customHeight="false" outlineLevel="0" collapsed="false">
      <c r="A12" s="3" t="s">
        <v>271</v>
      </c>
      <c r="B12" s="33" t="n">
        <v>4940000</v>
      </c>
      <c r="F12" s="3" t="s">
        <v>268</v>
      </c>
    </row>
    <row r="13" customFormat="false" ht="15" hidden="false" customHeight="false" outlineLevel="0" collapsed="false">
      <c r="A13" s="3" t="s">
        <v>272</v>
      </c>
      <c r="B13" s="34" t="n">
        <f aca="false">B12/B11</f>
        <v>0.202459016393443</v>
      </c>
      <c r="F13" s="3" t="s">
        <v>273</v>
      </c>
    </row>
    <row r="15" customFormat="false" ht="15" hidden="false" customHeight="false" outlineLevel="0" collapsed="false">
      <c r="A15" s="5" t="s">
        <v>274</v>
      </c>
      <c r="B15" s="15"/>
      <c r="C15" s="15"/>
      <c r="D15" s="15"/>
      <c r="E15" s="15"/>
      <c r="F15" s="15"/>
    </row>
    <row r="16" customFormat="false" ht="15" hidden="false" customHeight="false" outlineLevel="0" collapsed="false">
      <c r="A16" s="3" t="s">
        <v>275</v>
      </c>
      <c r="B16" s="35" t="n">
        <f aca="false">'SKU Unit Economics'!$D$6/B$7*'SKU Unit Economics'!$B$18</f>
        <v>7.3793006993007</v>
      </c>
      <c r="C16" s="35" t="n">
        <f aca="false">'SKU Unit Economics'!$D$6/C$7*'SKU Unit Economics'!$B$18</f>
        <v>8.11723076923077</v>
      </c>
      <c r="D16" s="35" t="n">
        <f aca="false">'SKU Unit Economics'!$D$6/D$7*'SKU Unit Economics'!$B$18</f>
        <v>7.3793006993007</v>
      </c>
      <c r="E16" s="35" t="n">
        <f aca="false">'SKU Unit Economics'!$D$6/E$7*'SKU Unit Economics'!$B$18</f>
        <v>6.808</v>
      </c>
      <c r="F16" s="3" t="s">
        <v>276</v>
      </c>
    </row>
    <row r="17" customFormat="false" ht="15" hidden="false" customHeight="false" outlineLevel="0" collapsed="false">
      <c r="A17" s="3" t="s">
        <v>277</v>
      </c>
      <c r="B17" s="36" t="n">
        <f aca="false">HeroFobShare*(Assumptions!$F$111/B$7-1)</f>
        <v>0</v>
      </c>
      <c r="C17" s="36" t="n">
        <f aca="false">HeroFobShare*(Assumptions!$F$111/C$7-1)</f>
        <v>0.0164020909075366</v>
      </c>
      <c r="D17" s="36" t="n">
        <f aca="false">HeroFobShare*(Assumptions!$F$111/D$7-1)</f>
        <v>0</v>
      </c>
      <c r="E17" s="36" t="n">
        <f aca="false">HeroFobShare*(Assumptions!$F$111/E$7-1)</f>
        <v>-0.0126983929606735</v>
      </c>
      <c r="F17" s="3" t="s">
        <v>278</v>
      </c>
    </row>
    <row r="18" customFormat="false" ht="15" hidden="false" customHeight="false" outlineLevel="0" collapsed="false">
      <c r="A18" s="3" t="s">
        <v>279</v>
      </c>
      <c r="B18" s="37" t="n">
        <f aca="false">Assumptions!$F$106*B$7</f>
        <v>55770000</v>
      </c>
      <c r="C18" s="37" t="n">
        <f aca="false">Assumptions!$F$106*C$7</f>
        <v>50700000</v>
      </c>
      <c r="D18" s="37" t="n">
        <f aca="false">Assumptions!$F$106*D$7</f>
        <v>55770000</v>
      </c>
      <c r="E18" s="37" t="n">
        <f aca="false">Assumptions!$F$106*E$7</f>
        <v>60450000</v>
      </c>
      <c r="F18" s="3" t="s">
        <v>196</v>
      </c>
    </row>
    <row r="19" customFormat="false" ht="15" hidden="false" customHeight="false" outlineLevel="0" collapsed="false">
      <c r="A19" s="3" t="s">
        <v>280</v>
      </c>
      <c r="B19" s="38" t="n">
        <f aca="false">$B$10/B$7</f>
        <v>13608.3916083916</v>
      </c>
      <c r="C19" s="38" t="n">
        <f aca="false">$B$10/C$7</f>
        <v>14969.2307692308</v>
      </c>
      <c r="D19" s="38" t="n">
        <f aca="false">$B$10/D$7</f>
        <v>13608.3916083916</v>
      </c>
      <c r="E19" s="38" t="n">
        <f aca="false">$B$10/E$7</f>
        <v>12554.8387096774</v>
      </c>
      <c r="F19" s="3" t="s">
        <v>281</v>
      </c>
    </row>
    <row r="20" customFormat="false" ht="15" hidden="false" customHeight="false" outlineLevel="0" collapsed="false">
      <c r="A20" s="3" t="s">
        <v>282</v>
      </c>
      <c r="B20" s="38" t="n">
        <f aca="false">$B$11/B$7</f>
        <v>17062.9370629371</v>
      </c>
      <c r="C20" s="38" t="n">
        <f aca="false">$B$11/C$7</f>
        <v>18769.2307692308</v>
      </c>
      <c r="D20" s="38" t="n">
        <f aca="false">$B$11/D$7</f>
        <v>17062.9370629371</v>
      </c>
      <c r="E20" s="38" t="n">
        <f aca="false">$B$11/E$7</f>
        <v>15741.935483871</v>
      </c>
      <c r="F20" s="3" t="s">
        <v>281</v>
      </c>
    </row>
    <row r="21" customFormat="false" ht="15" hidden="false" customHeight="false" outlineLevel="0" collapsed="false">
      <c r="A21" s="3" t="s">
        <v>283</v>
      </c>
      <c r="B21" s="38" t="n">
        <f aca="false">$B$12/B$7</f>
        <v>3454.54545454545</v>
      </c>
      <c r="C21" s="38" t="n">
        <f aca="false">$B$12/C$7</f>
        <v>3800</v>
      </c>
      <c r="D21" s="38" t="n">
        <f aca="false">$B$12/D$7</f>
        <v>3454.54545454545</v>
      </c>
      <c r="E21" s="38" t="n">
        <f aca="false">$B$12/E$7</f>
        <v>3187.09677419355</v>
      </c>
      <c r="F21" s="3" t="s">
        <v>284</v>
      </c>
    </row>
    <row r="22" customFormat="false" ht="15" hidden="false" customHeight="false" outlineLevel="0" collapsed="false">
      <c r="A22" s="3" t="s">
        <v>285</v>
      </c>
      <c r="B22" s="35" t="n">
        <f aca="false">'SKU Unit Economics'!$D$6/B$7</f>
        <v>8.02097902097902</v>
      </c>
      <c r="C22" s="35" t="n">
        <f aca="false">'SKU Unit Economics'!$D$6/C$7</f>
        <v>8.82307692307692</v>
      </c>
      <c r="D22" s="35" t="n">
        <f aca="false">'SKU Unit Economics'!$D$6/D$7</f>
        <v>8.02097902097902</v>
      </c>
      <c r="E22" s="35" t="n">
        <f aca="false">'SKU Unit Economics'!$D$6/E$7</f>
        <v>7.4</v>
      </c>
      <c r="F22" s="3" t="s">
        <v>286</v>
      </c>
    </row>
    <row r="23" customFormat="false" ht="15" hidden="false" customHeight="false" outlineLevel="0" collapsed="false">
      <c r="A23" s="5" t="s">
        <v>287</v>
      </c>
    </row>
    <row r="24" customFormat="false" ht="15" hidden="false" customHeight="false" outlineLevel="0" collapsed="false">
      <c r="A24" s="3" t="s">
        <v>288</v>
      </c>
      <c r="B24" s="37" t="n">
        <f aca="false">'Annual PL Y1 to Y5'!$C$80*B$7</f>
        <v>54397371.6</v>
      </c>
      <c r="C24" s="37" t="n">
        <f aca="false">'Annual PL Y1 to Y5'!$C$80*C$7</f>
        <v>49452156</v>
      </c>
      <c r="D24" s="37" t="n">
        <f aca="false">'Annual PL Y1 to Y5'!$C$80*D$7</f>
        <v>54397371.6</v>
      </c>
      <c r="E24" s="37" t="n">
        <f aca="false">'Annual PL Y1 to Y5'!$C$80*E$7</f>
        <v>58962186</v>
      </c>
      <c r="F24" s="3" t="s">
        <v>289</v>
      </c>
    </row>
    <row r="25" customFormat="false" ht="15" hidden="false" customHeight="false" outlineLevel="0" collapsed="false">
      <c r="A25" s="3" t="s">
        <v>290</v>
      </c>
      <c r="B25" s="37" t="n">
        <f aca="false">'Annual PL Y1 to Y5'!$G$80*B$7</f>
        <v>876181831.700169</v>
      </c>
      <c r="C25" s="37" t="n">
        <f aca="false">'Annual PL Y1 to Y5'!$G$80*C$7</f>
        <v>796528937.909244</v>
      </c>
      <c r="D25" s="37" t="n">
        <f aca="false">'Annual PL Y1 to Y5'!$G$80*D$7</f>
        <v>876181831.700169</v>
      </c>
      <c r="E25" s="37" t="n">
        <f aca="false">'Annual PL Y1 to Y5'!$G$80*E$7</f>
        <v>949707579.814868</v>
      </c>
      <c r="F25" s="3" t="s">
        <v>289</v>
      </c>
    </row>
    <row r="26" customFormat="false" ht="15" hidden="false" customHeight="false" outlineLevel="0" collapsed="false">
      <c r="A26" s="3" t="s">
        <v>291</v>
      </c>
      <c r="B26" s="37" t="n">
        <f aca="false">'Annual PL Y1 to Y5'!$G$82*B$7</f>
        <v>2766656933.07973</v>
      </c>
      <c r="C26" s="37" t="n">
        <f aca="false">'Annual PL Y1 to Y5'!$G$82*C$7</f>
        <v>2515142666.43612</v>
      </c>
      <c r="D26" s="37" t="n">
        <f aca="false">'Annual PL Y1 to Y5'!$G$82*D$7</f>
        <v>2766656933.07973</v>
      </c>
      <c r="E26" s="37" t="n">
        <f aca="false">'Annual PL Y1 to Y5'!$G$82*E$7</f>
        <v>2998823948.44306</v>
      </c>
      <c r="F26" s="3" t="s">
        <v>292</v>
      </c>
    </row>
    <row r="27" customFormat="false" ht="15" hidden="false" customHeight="false" outlineLevel="0" collapsed="false">
      <c r="A27" s="4"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26"/>
    <col collapsed="false" customWidth="true" hidden="false" outlineLevel="0" max="3" min="3" style="1" width="12"/>
    <col collapsed="false" customWidth="true" hidden="false" outlineLevel="0" max="4" min="4" style="1" width="14"/>
    <col collapsed="false" customWidth="true" hidden="false" outlineLevel="0" max="6" min="5" style="1" width="10"/>
    <col collapsed="false" customWidth="true" hidden="false" outlineLevel="0" max="7" min="7" style="1" width="12"/>
    <col collapsed="false" customWidth="true" hidden="false" outlineLevel="0" max="8" min="8" style="1" width="10"/>
    <col collapsed="false" customWidth="true" hidden="false" outlineLevel="0" max="32" min="9" style="1" width="11"/>
  </cols>
  <sheetData>
    <row r="1" customFormat="false" ht="17.35" hidden="false" customHeight="false" outlineLevel="0" collapsed="false">
      <c r="A1" s="11" t="s">
        <v>22</v>
      </c>
    </row>
    <row r="2" customFormat="false" ht="15" hidden="false" customHeight="false" outlineLevel="0" collapsed="false">
      <c r="A2" s="4" t="s">
        <v>294</v>
      </c>
    </row>
    <row r="4" customFormat="false" ht="42" hidden="false" customHeight="true" outlineLevel="0" collapsed="false">
      <c r="A4" s="39" t="s">
        <v>295</v>
      </c>
      <c r="B4" s="39" t="s">
        <v>296</v>
      </c>
      <c r="C4" s="39" t="s">
        <v>297</v>
      </c>
      <c r="D4" s="39" t="s">
        <v>298</v>
      </c>
      <c r="E4" s="39" t="s">
        <v>299</v>
      </c>
      <c r="F4" s="39" t="s">
        <v>300</v>
      </c>
      <c r="G4" s="39" t="s">
        <v>301</v>
      </c>
      <c r="H4" s="39" t="s">
        <v>302</v>
      </c>
      <c r="I4" s="39" t="s">
        <v>303</v>
      </c>
      <c r="J4" s="39" t="s">
        <v>304</v>
      </c>
      <c r="K4" s="39" t="s">
        <v>305</v>
      </c>
      <c r="L4" s="39" t="s">
        <v>306</v>
      </c>
      <c r="M4" s="39" t="s">
        <v>307</v>
      </c>
      <c r="N4" s="39" t="s">
        <v>308</v>
      </c>
      <c r="O4" s="39" t="s">
        <v>309</v>
      </c>
      <c r="P4" s="39" t="s">
        <v>310</v>
      </c>
      <c r="Q4" s="39" t="s">
        <v>311</v>
      </c>
      <c r="R4" s="39" t="s">
        <v>312</v>
      </c>
      <c r="S4" s="39" t="s">
        <v>313</v>
      </c>
      <c r="T4" s="39" t="s">
        <v>314</v>
      </c>
      <c r="U4" s="39" t="s">
        <v>315</v>
      </c>
      <c r="V4" s="39" t="s">
        <v>316</v>
      </c>
      <c r="W4" s="39" t="s">
        <v>317</v>
      </c>
      <c r="X4" s="39" t="s">
        <v>318</v>
      </c>
      <c r="Y4" s="39" t="s">
        <v>319</v>
      </c>
      <c r="Z4" s="39" t="s">
        <v>320</v>
      </c>
      <c r="AA4" s="39" t="s">
        <v>321</v>
      </c>
      <c r="AB4" s="39" t="s">
        <v>322</v>
      </c>
      <c r="AC4" s="39" t="s">
        <v>323</v>
      </c>
      <c r="AD4" s="39" t="s">
        <v>324</v>
      </c>
      <c r="AE4" s="39" t="s">
        <v>325</v>
      </c>
      <c r="AF4" s="39" t="s">
        <v>326</v>
      </c>
    </row>
    <row r="5" customFormat="false" ht="15" hidden="false" customHeight="false" outlineLevel="0" collapsed="false">
      <c r="A5" s="3" t="s">
        <v>327</v>
      </c>
      <c r="B5" s="3" t="s">
        <v>328</v>
      </c>
      <c r="C5" s="12" t="n">
        <v>7</v>
      </c>
      <c r="D5" s="33" t="n">
        <v>10525</v>
      </c>
      <c r="E5" s="40" t="n">
        <f aca="false">D5/FXRate*$B$18</f>
        <v>6.77132867132867</v>
      </c>
      <c r="F5" s="16" t="n">
        <v>49.99</v>
      </c>
      <c r="G5" s="16" t="n">
        <v>39.99</v>
      </c>
      <c r="H5" s="20" t="n">
        <v>0.35</v>
      </c>
      <c r="I5" s="41" t="n">
        <f aca="false">H5*$B$21</f>
        <v>0.15876</v>
      </c>
      <c r="J5" s="40" t="n">
        <f aca="false">I5*$B$19</f>
        <v>1.34946</v>
      </c>
      <c r="K5" s="40" t="n">
        <f aca="false">I5*$B$20</f>
        <v>0.174636</v>
      </c>
      <c r="L5" s="35" t="n">
        <f aca="false">E5*'Landed Cost &amp; Tariff Scenarios'!$G$5</f>
        <v>2.7153027972028</v>
      </c>
      <c r="M5" s="35" t="n">
        <f aca="false">E5*'Landed Cost &amp; Tariff Scenarios'!$G$6</f>
        <v>0.846416083916084</v>
      </c>
      <c r="N5" s="35" t="n">
        <f aca="false">E5*'Landed Cost &amp; Tariff Scenarios'!$G$7</f>
        <v>3.39243566433566</v>
      </c>
      <c r="O5" s="40" t="n">
        <f aca="false">INDEX(L5:N5,1,DutyScenario)</f>
        <v>2.7153027972028</v>
      </c>
      <c r="P5" s="40" t="n">
        <f aca="false">E5*$B$22</f>
        <v>0.0236996503496504</v>
      </c>
      <c r="Q5" s="40" t="n">
        <f aca="false">$B$23</f>
        <v>0.4</v>
      </c>
      <c r="R5" s="40" t="n">
        <f aca="false">$B$24</f>
        <v>0.5</v>
      </c>
      <c r="S5" s="40" t="n">
        <f aca="false">$B$25</f>
        <v>0.25</v>
      </c>
      <c r="T5" s="40" t="n">
        <f aca="false">E5+J5+O5+Q5+R5+S5</f>
        <v>11.9860914685315</v>
      </c>
      <c r="U5" s="40" t="n">
        <f aca="false">E5+K5+O5+P5+Q5+R5+S5</f>
        <v>10.8349671188811</v>
      </c>
      <c r="V5" s="34" t="n">
        <f aca="false">T5/G5</f>
        <v>0.299727218517916</v>
      </c>
      <c r="W5" s="34" t="n">
        <f aca="false">U5/G5</f>
        <v>0.270941913450391</v>
      </c>
      <c r="X5" s="16" t="n">
        <v>4.9</v>
      </c>
      <c r="Y5" s="35" t="n">
        <f aca="false">G5*Assumptions!$F$19</f>
        <v>5.9985</v>
      </c>
      <c r="Z5" s="40" t="n">
        <f aca="false">G5*$B$26</f>
        <v>4.7988</v>
      </c>
      <c r="AA5" s="40" t="n">
        <f aca="false">G5*$B$27</f>
        <v>1.9995</v>
      </c>
      <c r="AB5" s="17" t="n">
        <f aca="false">G5-T5-X5-Y5-Z5-AA5</f>
        <v>10.3071085314685</v>
      </c>
      <c r="AC5" s="34" t="n">
        <f aca="false">AB5/G5</f>
        <v>0.257742148823919</v>
      </c>
      <c r="AD5" s="17" t="n">
        <f aca="false">G5-U5-X5-Y5-Z5-AA5</f>
        <v>11.4582328811189</v>
      </c>
      <c r="AE5" s="34" t="n">
        <f aca="false">AD5/G5</f>
        <v>0.286527453891445</v>
      </c>
      <c r="AF5" s="6" t="s">
        <v>329</v>
      </c>
    </row>
    <row r="6" customFormat="false" ht="15" hidden="false" customHeight="false" outlineLevel="0" collapsed="false">
      <c r="A6" s="42" t="s">
        <v>330</v>
      </c>
      <c r="B6" s="42" t="s">
        <v>331</v>
      </c>
      <c r="C6" s="43" t="n">
        <v>10</v>
      </c>
      <c r="D6" s="44" t="n">
        <v>11470</v>
      </c>
      <c r="E6" s="45" t="n">
        <f aca="false">D6/FXRate*$B$18</f>
        <v>7.3793006993007</v>
      </c>
      <c r="F6" s="46" t="n">
        <v>59.99</v>
      </c>
      <c r="G6" s="46" t="n">
        <v>44.99</v>
      </c>
      <c r="H6" s="47" t="n">
        <v>0.45</v>
      </c>
      <c r="I6" s="48" t="n">
        <f aca="false">H6*$B$21</f>
        <v>0.20412</v>
      </c>
      <c r="J6" s="45" t="n">
        <f aca="false">I6*$B$19</f>
        <v>1.73502</v>
      </c>
      <c r="K6" s="45" t="n">
        <f aca="false">I6*$B$20</f>
        <v>0.224532</v>
      </c>
      <c r="L6" s="49" t="n">
        <f aca="false">E6*'Landed Cost &amp; Tariff Scenarios'!$G$5</f>
        <v>2.95909958041958</v>
      </c>
      <c r="M6" s="49" t="n">
        <f aca="false">E6*'Landed Cost &amp; Tariff Scenarios'!$G$6</f>
        <v>0.922412587412588</v>
      </c>
      <c r="N6" s="49" t="n">
        <f aca="false">E6*'Landed Cost &amp; Tariff Scenarios'!$G$7</f>
        <v>3.69702965034965</v>
      </c>
      <c r="O6" s="45" t="n">
        <f aca="false">INDEX(L6:N6,1,DutyScenario)</f>
        <v>2.95909958041958</v>
      </c>
      <c r="P6" s="45" t="n">
        <f aca="false">E6*$B$22</f>
        <v>0.0258275524475525</v>
      </c>
      <c r="Q6" s="45" t="n">
        <f aca="false">$B$23</f>
        <v>0.4</v>
      </c>
      <c r="R6" s="45" t="n">
        <f aca="false">$B$24</f>
        <v>0.5</v>
      </c>
      <c r="S6" s="45" t="n">
        <f aca="false">$B$25</f>
        <v>0.25</v>
      </c>
      <c r="T6" s="45" t="n">
        <f aca="false">E6+J6+O6+Q6+R6+S6</f>
        <v>13.2234202797203</v>
      </c>
      <c r="U6" s="45" t="n">
        <f aca="false">E6+K6+O6+P6+Q6+R6+S6</f>
        <v>11.7387598321678</v>
      </c>
      <c r="V6" s="50" t="n">
        <f aca="false">T6/G6</f>
        <v>0.293919099349195</v>
      </c>
      <c r="W6" s="50" t="n">
        <f aca="false">U6/G6</f>
        <v>0.26091931167299</v>
      </c>
      <c r="X6" s="46" t="n">
        <v>4.9</v>
      </c>
      <c r="Y6" s="49" t="n">
        <f aca="false">G6*Assumptions!$F$19</f>
        <v>6.7485</v>
      </c>
      <c r="Z6" s="45" t="n">
        <f aca="false">G6*$B$26</f>
        <v>5.3988</v>
      </c>
      <c r="AA6" s="45" t="n">
        <f aca="false">G6*$B$27</f>
        <v>2.2495</v>
      </c>
      <c r="AB6" s="45" t="n">
        <f aca="false">G6-T6-X6-Y6-Z6-AA6</f>
        <v>12.4697797202797</v>
      </c>
      <c r="AC6" s="50" t="n">
        <f aca="false">AB6/G6</f>
        <v>0.277167808852628</v>
      </c>
      <c r="AD6" s="45" t="n">
        <f aca="false">G6-U6-X6-Y6-Z6-AA6</f>
        <v>13.9544401678322</v>
      </c>
      <c r="AE6" s="50" t="n">
        <f aca="false">AD6/G6</f>
        <v>0.310167596528832</v>
      </c>
      <c r="AF6" s="51" t="s">
        <v>329</v>
      </c>
    </row>
    <row r="7" customFormat="false" ht="15" hidden="false" customHeight="false" outlineLevel="0" collapsed="false">
      <c r="A7" s="3" t="s">
        <v>332</v>
      </c>
      <c r="B7" s="3" t="s">
        <v>328</v>
      </c>
      <c r="C7" s="12" t="n">
        <v>15</v>
      </c>
      <c r="D7" s="33" t="n">
        <v>13376</v>
      </c>
      <c r="E7" s="40" t="n">
        <f aca="false">D7/FXRate*$B$18</f>
        <v>8.60553846153846</v>
      </c>
      <c r="F7" s="16" t="n">
        <v>69.99</v>
      </c>
      <c r="G7" s="16" t="n">
        <v>54.99</v>
      </c>
      <c r="H7" s="20" t="n">
        <v>0.6</v>
      </c>
      <c r="I7" s="41" t="n">
        <f aca="false">H7*$B$21</f>
        <v>0.27216</v>
      </c>
      <c r="J7" s="40" t="n">
        <f aca="false">I7*$B$19</f>
        <v>2.31336</v>
      </c>
      <c r="K7" s="40" t="n">
        <f aca="false">I7*$B$20</f>
        <v>0.299376</v>
      </c>
      <c r="L7" s="35" t="n">
        <f aca="false">E7*'Landed Cost &amp; Tariff Scenarios'!$G$5</f>
        <v>3.45082092307692</v>
      </c>
      <c r="M7" s="35" t="n">
        <f aca="false">E7*'Landed Cost &amp; Tariff Scenarios'!$G$6</f>
        <v>1.07569230769231</v>
      </c>
      <c r="N7" s="35" t="n">
        <f aca="false">E7*'Landed Cost &amp; Tariff Scenarios'!$G$7</f>
        <v>4.31137476923077</v>
      </c>
      <c r="O7" s="40" t="n">
        <f aca="false">INDEX(L7:N7,1,DutyScenario)</f>
        <v>3.45082092307692</v>
      </c>
      <c r="P7" s="40" t="n">
        <f aca="false">E7*$B$22</f>
        <v>0.0301193846153846</v>
      </c>
      <c r="Q7" s="40" t="n">
        <f aca="false">$B$23</f>
        <v>0.4</v>
      </c>
      <c r="R7" s="40" t="n">
        <f aca="false">$B$24</f>
        <v>0.5</v>
      </c>
      <c r="S7" s="40" t="n">
        <f aca="false">$B$25</f>
        <v>0.25</v>
      </c>
      <c r="T7" s="40" t="n">
        <f aca="false">E7+J7+O7+Q7+R7+S7</f>
        <v>15.5197193846154</v>
      </c>
      <c r="U7" s="40" t="n">
        <f aca="false">E7+K7+O7+P7+Q7+R7+S7</f>
        <v>13.5358547692308</v>
      </c>
      <c r="V7" s="34" t="n">
        <f aca="false">T7/G7</f>
        <v>0.282228030271238</v>
      </c>
      <c r="W7" s="34" t="n">
        <f aca="false">U7/G7</f>
        <v>0.246151205114217</v>
      </c>
      <c r="X7" s="16" t="n">
        <v>5.5</v>
      </c>
      <c r="Y7" s="35" t="n">
        <f aca="false">G7*Assumptions!$F$19</f>
        <v>8.2485</v>
      </c>
      <c r="Z7" s="40" t="n">
        <f aca="false">G7*$B$26</f>
        <v>6.5988</v>
      </c>
      <c r="AA7" s="40" t="n">
        <f aca="false">G7*$B$27</f>
        <v>2.7495</v>
      </c>
      <c r="AB7" s="17" t="n">
        <f aca="false">G7-T7-X7-Y7-Z7-AA7</f>
        <v>16.3734806153846</v>
      </c>
      <c r="AC7" s="34" t="n">
        <f aca="false">AB7/G7</f>
        <v>0.297753784604194</v>
      </c>
      <c r="AD7" s="17" t="n">
        <f aca="false">G7-U7-X7-Y7-Z7-AA7</f>
        <v>18.3573452307692</v>
      </c>
      <c r="AE7" s="34" t="n">
        <f aca="false">AD7/G7</f>
        <v>0.333830609761215</v>
      </c>
      <c r="AF7" s="6" t="s">
        <v>329</v>
      </c>
    </row>
    <row r="8" customFormat="false" ht="15" hidden="false" customHeight="false" outlineLevel="0" collapsed="false">
      <c r="A8" s="3" t="s">
        <v>333</v>
      </c>
      <c r="B8" s="3" t="s">
        <v>328</v>
      </c>
      <c r="C8" s="12" t="n">
        <v>20</v>
      </c>
      <c r="D8" s="33" t="n">
        <v>15266</v>
      </c>
      <c r="E8" s="40" t="n">
        <f aca="false">D8/FXRate*$B$18</f>
        <v>9.82148251748252</v>
      </c>
      <c r="F8" s="16" t="n">
        <v>79.99</v>
      </c>
      <c r="G8" s="16" t="n">
        <v>64.99</v>
      </c>
      <c r="H8" s="20" t="n">
        <v>0.75</v>
      </c>
      <c r="I8" s="41" t="n">
        <f aca="false">H8*$B$21</f>
        <v>0.3402</v>
      </c>
      <c r="J8" s="40" t="n">
        <f aca="false">I8*$B$19</f>
        <v>2.8917</v>
      </c>
      <c r="K8" s="40" t="n">
        <f aca="false">I8*$B$20</f>
        <v>0.37422</v>
      </c>
      <c r="L8" s="35" t="n">
        <f aca="false">E8*'Landed Cost &amp; Tariff Scenarios'!$G$5</f>
        <v>3.93841448951049</v>
      </c>
      <c r="M8" s="35" t="n">
        <f aca="false">E8*'Landed Cost &amp; Tariff Scenarios'!$G$6</f>
        <v>1.22768531468531</v>
      </c>
      <c r="N8" s="35" t="n">
        <f aca="false">E8*'Landed Cost &amp; Tariff Scenarios'!$G$7</f>
        <v>4.92056274125874</v>
      </c>
      <c r="O8" s="40" t="n">
        <f aca="false">INDEX(L8:N8,1,DutyScenario)</f>
        <v>3.93841448951049</v>
      </c>
      <c r="P8" s="40" t="n">
        <f aca="false">E8*$B$22</f>
        <v>0.0343751888111888</v>
      </c>
      <c r="Q8" s="40" t="n">
        <f aca="false">$B$23</f>
        <v>0.4</v>
      </c>
      <c r="R8" s="40" t="n">
        <f aca="false">$B$24</f>
        <v>0.5</v>
      </c>
      <c r="S8" s="40" t="n">
        <f aca="false">$B$25</f>
        <v>0.25</v>
      </c>
      <c r="T8" s="40" t="n">
        <f aca="false">E8+J8+O8+Q8+R8+S8</f>
        <v>17.801597006993</v>
      </c>
      <c r="U8" s="40" t="n">
        <f aca="false">E8+K8+O8+P8+Q8+R8+S8</f>
        <v>15.3184921958042</v>
      </c>
      <c r="V8" s="34" t="n">
        <f aca="false">T8/G8</f>
        <v>0.273912863625066</v>
      </c>
      <c r="W8" s="34" t="n">
        <f aca="false">U8/G8</f>
        <v>0.235705373069768</v>
      </c>
      <c r="X8" s="16" t="n">
        <v>5.5</v>
      </c>
      <c r="Y8" s="35" t="n">
        <f aca="false">G8*Assumptions!$F$19</f>
        <v>9.7485</v>
      </c>
      <c r="Z8" s="40" t="n">
        <f aca="false">G8*$B$26</f>
        <v>7.7988</v>
      </c>
      <c r="AA8" s="40" t="n">
        <f aca="false">G8*$B$27</f>
        <v>3.2495</v>
      </c>
      <c r="AB8" s="17" t="n">
        <f aca="false">G8-T8-X8-Y8-Z8-AA8</f>
        <v>20.891602993007</v>
      </c>
      <c r="AC8" s="34" t="n">
        <f aca="false">AB8/G8</f>
        <v>0.321458732005031</v>
      </c>
      <c r="AD8" s="17" t="n">
        <f aca="false">G8-U8-X8-Y8-Z8-AA8</f>
        <v>23.3747078041958</v>
      </c>
      <c r="AE8" s="34" t="n">
        <f aca="false">AD8/G8</f>
        <v>0.359666222560329</v>
      </c>
      <c r="AF8" s="6" t="s">
        <v>329</v>
      </c>
    </row>
    <row r="9" customFormat="false" ht="15" hidden="false" customHeight="false" outlineLevel="0" collapsed="false">
      <c r="A9" s="3" t="s">
        <v>334</v>
      </c>
      <c r="B9" s="3" t="s">
        <v>328</v>
      </c>
      <c r="C9" s="12" t="n">
        <v>25</v>
      </c>
      <c r="D9" s="33" t="n">
        <v>17172</v>
      </c>
      <c r="E9" s="40" t="n">
        <f aca="false">D9/FXRate*$B$18</f>
        <v>11.0477202797203</v>
      </c>
      <c r="F9" s="16" t="n">
        <v>89.99</v>
      </c>
      <c r="G9" s="16" t="n">
        <v>74.99</v>
      </c>
      <c r="H9" s="20" t="n">
        <v>0.9</v>
      </c>
      <c r="I9" s="41" t="n">
        <f aca="false">H9*$B$21</f>
        <v>0.40824</v>
      </c>
      <c r="J9" s="40" t="n">
        <f aca="false">I9*$B$19</f>
        <v>3.47004</v>
      </c>
      <c r="K9" s="40" t="n">
        <f aca="false">I9*$B$20</f>
        <v>0.449064</v>
      </c>
      <c r="L9" s="35" t="n">
        <f aca="false">E9*'Landed Cost &amp; Tariff Scenarios'!$G$5</f>
        <v>4.43013583216783</v>
      </c>
      <c r="M9" s="35" t="n">
        <f aca="false">E9*'Landed Cost &amp; Tariff Scenarios'!$G$6</f>
        <v>1.38096503496504</v>
      </c>
      <c r="N9" s="35" t="n">
        <f aca="false">E9*'Landed Cost &amp; Tariff Scenarios'!$G$7</f>
        <v>5.53490786013986</v>
      </c>
      <c r="O9" s="40" t="n">
        <f aca="false">INDEX(L9:N9,1,DutyScenario)</f>
        <v>4.43013583216783</v>
      </c>
      <c r="P9" s="40" t="n">
        <f aca="false">E9*$B$22</f>
        <v>0.038667020979021</v>
      </c>
      <c r="Q9" s="40" t="n">
        <f aca="false">$B$23</f>
        <v>0.4</v>
      </c>
      <c r="R9" s="40" t="n">
        <f aca="false">$B$24</f>
        <v>0.5</v>
      </c>
      <c r="S9" s="40" t="n">
        <f aca="false">$B$25</f>
        <v>0.25</v>
      </c>
      <c r="T9" s="40" t="n">
        <f aca="false">E9+J9+O9+Q9+R9+S9</f>
        <v>20.0978961118881</v>
      </c>
      <c r="U9" s="40" t="n">
        <f aca="false">E9+K9+O9+P9+Q9+R9+S9</f>
        <v>17.1155871328671</v>
      </c>
      <c r="V9" s="34" t="n">
        <f aca="false">T9/G9</f>
        <v>0.268007682516177</v>
      </c>
      <c r="W9" s="34" t="n">
        <f aca="false">U9/G9</f>
        <v>0.228238260206256</v>
      </c>
      <c r="X9" s="16" t="n">
        <v>6.6</v>
      </c>
      <c r="Y9" s="35" t="n">
        <f aca="false">G9*Assumptions!$F$19</f>
        <v>11.2485</v>
      </c>
      <c r="Z9" s="40" t="n">
        <f aca="false">G9*$B$26</f>
        <v>8.9988</v>
      </c>
      <c r="AA9" s="40" t="n">
        <f aca="false">G9*$B$27</f>
        <v>3.7495</v>
      </c>
      <c r="AB9" s="17" t="n">
        <f aca="false">G9-T9-X9-Y9-Z9-AA9</f>
        <v>24.2953038881119</v>
      </c>
      <c r="AC9" s="34" t="n">
        <f aca="false">AB9/G9</f>
        <v>0.323980582585837</v>
      </c>
      <c r="AD9" s="17" t="n">
        <f aca="false">G9-U9-X9-Y9-Z9-AA9</f>
        <v>27.2776128671329</v>
      </c>
      <c r="AE9" s="34" t="n">
        <f aca="false">AD9/G9</f>
        <v>0.363750004895758</v>
      </c>
      <c r="AF9" s="6" t="s">
        <v>335</v>
      </c>
    </row>
    <row r="10" customFormat="false" ht="15" hidden="false" customHeight="false" outlineLevel="0" collapsed="false">
      <c r="A10" s="3" t="s">
        <v>336</v>
      </c>
      <c r="B10" s="3" t="s">
        <v>328</v>
      </c>
      <c r="C10" s="12" t="n">
        <v>50</v>
      </c>
      <c r="D10" s="33" t="n">
        <v>27349</v>
      </c>
      <c r="E10" s="40" t="n">
        <f aca="false">D10/FXRate*$B$18</f>
        <v>17.5951608391608</v>
      </c>
      <c r="F10" s="16" t="n">
        <v>149.99</v>
      </c>
      <c r="G10" s="16" t="n">
        <v>119.99</v>
      </c>
      <c r="H10" s="20" t="n">
        <v>1.9</v>
      </c>
      <c r="I10" s="41" t="n">
        <f aca="false">H10*$B$21</f>
        <v>0.86184</v>
      </c>
      <c r="J10" s="40" t="n">
        <f aca="false">I10*$B$19</f>
        <v>7.32564</v>
      </c>
      <c r="K10" s="40" t="n">
        <f aca="false">I10*$B$20</f>
        <v>0.948024</v>
      </c>
      <c r="L10" s="35" t="n">
        <f aca="false">E10*'Landed Cost &amp; Tariff Scenarios'!$G$5</f>
        <v>7.0556594965035</v>
      </c>
      <c r="M10" s="35" t="n">
        <f aca="false">E10*'Landed Cost &amp; Tariff Scenarios'!$G$6</f>
        <v>2.19939510489511</v>
      </c>
      <c r="N10" s="35" t="n">
        <f aca="false">E10*'Landed Cost &amp; Tariff Scenarios'!$G$7</f>
        <v>8.81517558041958</v>
      </c>
      <c r="O10" s="40" t="n">
        <f aca="false">INDEX(L10:N10,1,DutyScenario)</f>
        <v>7.0556594965035</v>
      </c>
      <c r="P10" s="40" t="n">
        <f aca="false">E10*$B$22</f>
        <v>0.0615830629370629</v>
      </c>
      <c r="Q10" s="40" t="n">
        <f aca="false">$B$23</f>
        <v>0.4</v>
      </c>
      <c r="R10" s="40" t="n">
        <f aca="false">$B$24</f>
        <v>0.5</v>
      </c>
      <c r="S10" s="40" t="n">
        <f aca="false">$B$25</f>
        <v>0.25</v>
      </c>
      <c r="T10" s="40" t="n">
        <f aca="false">E10+J10+O10+Q10+R10+S10</f>
        <v>33.1264603356643</v>
      </c>
      <c r="U10" s="40" t="n">
        <f aca="false">E10+K10+O10+P10+Q10+R10+S10</f>
        <v>26.8104273986014</v>
      </c>
      <c r="V10" s="34" t="n">
        <f aca="false">T10/G10</f>
        <v>0.276076842534081</v>
      </c>
      <c r="W10" s="34" t="n">
        <f aca="false">U10/G10</f>
        <v>0.223438848225697</v>
      </c>
      <c r="X10" s="16" t="n">
        <v>8.4</v>
      </c>
      <c r="Y10" s="35" t="n">
        <f aca="false">G10*Assumptions!$F$19</f>
        <v>17.9985</v>
      </c>
      <c r="Z10" s="40" t="n">
        <f aca="false">G10*$B$26</f>
        <v>14.3988</v>
      </c>
      <c r="AA10" s="40" t="n">
        <f aca="false">G10*$B$27</f>
        <v>5.9995</v>
      </c>
      <c r="AB10" s="17" t="n">
        <f aca="false">G10-T10-X10-Y10-Z10-AA10</f>
        <v>40.0667396643357</v>
      </c>
      <c r="AC10" s="34" t="n">
        <f aca="false">AB10/G10</f>
        <v>0.333917323646434</v>
      </c>
      <c r="AD10" s="17" t="n">
        <f aca="false">G10-U10-X10-Y10-Z10-AA10</f>
        <v>46.3827726013986</v>
      </c>
      <c r="AE10" s="34" t="n">
        <f aca="false">AD10/G10</f>
        <v>0.386555317954818</v>
      </c>
      <c r="AF10" s="6" t="s">
        <v>335</v>
      </c>
    </row>
    <row r="11" customFormat="false" ht="15" hidden="false" customHeight="false" outlineLevel="0" collapsed="false">
      <c r="A11" s="3" t="s">
        <v>337</v>
      </c>
      <c r="B11" s="3" t="s">
        <v>338</v>
      </c>
      <c r="C11" s="12" t="n">
        <v>15</v>
      </c>
      <c r="D11" s="33" t="n">
        <v>12680</v>
      </c>
      <c r="E11" s="40" t="n">
        <f aca="false">D11/FXRate*$B$18</f>
        <v>8.15776223776224</v>
      </c>
      <c r="F11" s="16" t="n">
        <v>44.99</v>
      </c>
      <c r="G11" s="16" t="n">
        <v>34.99</v>
      </c>
      <c r="H11" s="20" t="n">
        <v>0.6</v>
      </c>
      <c r="I11" s="41" t="n">
        <f aca="false">H11*$B$21</f>
        <v>0.27216</v>
      </c>
      <c r="J11" s="40" t="n">
        <f aca="false">I11*$B$19</f>
        <v>2.31336</v>
      </c>
      <c r="K11" s="40" t="n">
        <f aca="false">I11*$B$20</f>
        <v>0.299376</v>
      </c>
      <c r="L11" s="35" t="n">
        <f aca="false">E11*'Landed Cost &amp; Tariff Scenarios'!$G$5</f>
        <v>3.27126265734266</v>
      </c>
      <c r="M11" s="35" t="n">
        <f aca="false">E11*'Landed Cost &amp; Tariff Scenarios'!$G$6</f>
        <v>1.01972027972028</v>
      </c>
      <c r="N11" s="35" t="n">
        <f aca="false">E11*'Landed Cost &amp; Tariff Scenarios'!$G$7</f>
        <v>4.08703888111888</v>
      </c>
      <c r="O11" s="40" t="n">
        <f aca="false">INDEX(L11:N11,1,DutyScenario)</f>
        <v>3.27126265734266</v>
      </c>
      <c r="P11" s="40" t="n">
        <f aca="false">E11*$B$22</f>
        <v>0.0285521678321678</v>
      </c>
      <c r="Q11" s="40" t="n">
        <f aca="false">$B$23</f>
        <v>0.4</v>
      </c>
      <c r="R11" s="40" t="n">
        <f aca="false">$B$24</f>
        <v>0.5</v>
      </c>
      <c r="S11" s="40" t="n">
        <f aca="false">$B$25</f>
        <v>0.25</v>
      </c>
      <c r="T11" s="40" t="n">
        <f aca="false">E11+J11+O11+Q11+R11+S11</f>
        <v>14.8923848951049</v>
      </c>
      <c r="U11" s="40" t="n">
        <f aca="false">E11+K11+O11+P11+Q11+R11+S11</f>
        <v>12.9069530629371</v>
      </c>
      <c r="V11" s="34" t="n">
        <f aca="false">T11/G11</f>
        <v>0.425618316522003</v>
      </c>
      <c r="W11" s="34" t="n">
        <f aca="false">U11/G11</f>
        <v>0.368875480506918</v>
      </c>
      <c r="X11" s="16" t="n">
        <v>5.5</v>
      </c>
      <c r="Y11" s="35" t="n">
        <f aca="false">G11*Assumptions!$F$19</f>
        <v>5.2485</v>
      </c>
      <c r="Z11" s="40" t="n">
        <f aca="false">G11*$B$26</f>
        <v>4.1988</v>
      </c>
      <c r="AA11" s="40" t="n">
        <f aca="false">G11*$B$27</f>
        <v>1.7495</v>
      </c>
      <c r="AB11" s="17" t="n">
        <f aca="false">G11-T11-X11-Y11-Z11-AA11</f>
        <v>3.4008151048951</v>
      </c>
      <c r="AC11" s="34" t="n">
        <f aca="false">AB11/G11</f>
        <v>0.0971939155443014</v>
      </c>
      <c r="AD11" s="17" t="n">
        <f aca="false">G11-U11-X11-Y11-Z11-AA11</f>
        <v>5.38624693706294</v>
      </c>
      <c r="AE11" s="34" t="n">
        <f aca="false">AD11/G11</f>
        <v>0.153936751559387</v>
      </c>
      <c r="AF11" s="6" t="s">
        <v>335</v>
      </c>
    </row>
    <row r="12" customFormat="false" ht="15" hidden="false" customHeight="false" outlineLevel="0" collapsed="false">
      <c r="A12" s="3" t="s">
        <v>339</v>
      </c>
      <c r="B12" s="3" t="s">
        <v>338</v>
      </c>
      <c r="C12" s="12" t="n">
        <v>20</v>
      </c>
      <c r="D12" s="33" t="n">
        <v>14122</v>
      </c>
      <c r="E12" s="40" t="n">
        <f aca="false">D12/FXRate*$B$18</f>
        <v>9.08548251748252</v>
      </c>
      <c r="F12" s="16" t="n">
        <v>49.99</v>
      </c>
      <c r="G12" s="16" t="n">
        <v>39.99</v>
      </c>
      <c r="H12" s="20" t="n">
        <v>0.75</v>
      </c>
      <c r="I12" s="41" t="n">
        <f aca="false">H12*$B$21</f>
        <v>0.3402</v>
      </c>
      <c r="J12" s="40" t="n">
        <f aca="false">I12*$B$19</f>
        <v>2.8917</v>
      </c>
      <c r="K12" s="40" t="n">
        <f aca="false">I12*$B$20</f>
        <v>0.37422</v>
      </c>
      <c r="L12" s="35" t="n">
        <f aca="false">E12*'Landed Cost &amp; Tariff Scenarios'!$G$5</f>
        <v>3.64327848951049</v>
      </c>
      <c r="M12" s="35" t="n">
        <f aca="false">E12*'Landed Cost &amp; Tariff Scenarios'!$G$6</f>
        <v>1.13568531468531</v>
      </c>
      <c r="N12" s="35" t="n">
        <f aca="false">E12*'Landed Cost &amp; Tariff Scenarios'!$G$7</f>
        <v>4.55182674125874</v>
      </c>
      <c r="O12" s="40" t="n">
        <f aca="false">INDEX(L12:N12,1,DutyScenario)</f>
        <v>3.64327848951049</v>
      </c>
      <c r="P12" s="40" t="n">
        <f aca="false">E12*$B$22</f>
        <v>0.0317991888111888</v>
      </c>
      <c r="Q12" s="40" t="n">
        <f aca="false">$B$23</f>
        <v>0.4</v>
      </c>
      <c r="R12" s="40" t="n">
        <f aca="false">$B$24</f>
        <v>0.5</v>
      </c>
      <c r="S12" s="40" t="n">
        <f aca="false">$B$25</f>
        <v>0.25</v>
      </c>
      <c r="T12" s="40" t="n">
        <f aca="false">E12+J12+O12+Q12+R12+S12</f>
        <v>16.770461006993</v>
      </c>
      <c r="U12" s="40" t="n">
        <f aca="false">E12+K12+O12+P12+Q12+R12+S12</f>
        <v>14.2847801958042</v>
      </c>
      <c r="V12" s="34" t="n">
        <f aca="false">T12/G12</f>
        <v>0.419366366766517</v>
      </c>
      <c r="W12" s="34" t="n">
        <f aca="false">U12/G12</f>
        <v>0.357208807096879</v>
      </c>
      <c r="X12" s="16" t="n">
        <v>5.5</v>
      </c>
      <c r="Y12" s="35" t="n">
        <f aca="false">G12*Assumptions!$F$19</f>
        <v>5.9985</v>
      </c>
      <c r="Z12" s="40" t="n">
        <f aca="false">G12*$B$26</f>
        <v>4.7988</v>
      </c>
      <c r="AA12" s="40" t="n">
        <f aca="false">G12*$B$27</f>
        <v>1.9995</v>
      </c>
      <c r="AB12" s="17" t="n">
        <f aca="false">G12-T12-X12-Y12-Z12-AA12</f>
        <v>4.922738993007</v>
      </c>
      <c r="AC12" s="34" t="n">
        <f aca="false">AB12/G12</f>
        <v>0.123099249637584</v>
      </c>
      <c r="AD12" s="17" t="n">
        <f aca="false">G12-U12-X12-Y12-Z12-AA12</f>
        <v>7.40841980419581</v>
      </c>
      <c r="AE12" s="34" t="n">
        <f aca="false">AD12/G12</f>
        <v>0.185256809307222</v>
      </c>
      <c r="AF12" s="6" t="s">
        <v>335</v>
      </c>
    </row>
    <row r="13" customFormat="false" ht="15" hidden="false" customHeight="false" outlineLevel="0" collapsed="false">
      <c r="A13" s="3" t="s">
        <v>340</v>
      </c>
      <c r="B13" s="3" t="s">
        <v>338</v>
      </c>
      <c r="C13" s="12" t="n">
        <v>30</v>
      </c>
      <c r="D13" s="33" t="n">
        <v>19542</v>
      </c>
      <c r="E13" s="40" t="n">
        <f aca="false">D13/FXRate*$B$18</f>
        <v>12.5724755244755</v>
      </c>
      <c r="F13" s="16" t="n">
        <v>64.99</v>
      </c>
      <c r="G13" s="16" t="n">
        <v>49.99</v>
      </c>
      <c r="H13" s="20" t="n">
        <v>1.1</v>
      </c>
      <c r="I13" s="41" t="n">
        <f aca="false">H13*$B$21</f>
        <v>0.49896</v>
      </c>
      <c r="J13" s="40" t="n">
        <f aca="false">I13*$B$19</f>
        <v>4.24116</v>
      </c>
      <c r="K13" s="40" t="n">
        <f aca="false">I13*$B$20</f>
        <v>0.548856</v>
      </c>
      <c r="L13" s="35" t="n">
        <f aca="false">E13*'Landed Cost &amp; Tariff Scenarios'!$G$5</f>
        <v>5.04156268531469</v>
      </c>
      <c r="M13" s="35" t="n">
        <f aca="false">E13*'Landed Cost &amp; Tariff Scenarios'!$G$6</f>
        <v>1.57155944055944</v>
      </c>
      <c r="N13" s="35" t="n">
        <f aca="false">E13*'Landed Cost &amp; Tariff Scenarios'!$G$7</f>
        <v>6.29881023776224</v>
      </c>
      <c r="O13" s="40" t="n">
        <f aca="false">INDEX(L13:N13,1,DutyScenario)</f>
        <v>5.04156268531469</v>
      </c>
      <c r="P13" s="40" t="n">
        <f aca="false">E13*$B$22</f>
        <v>0.0440036643356643</v>
      </c>
      <c r="Q13" s="40" t="n">
        <f aca="false">$B$23</f>
        <v>0.4</v>
      </c>
      <c r="R13" s="40" t="n">
        <f aca="false">$B$24</f>
        <v>0.5</v>
      </c>
      <c r="S13" s="40" t="n">
        <f aca="false">$B$25</f>
        <v>0.25</v>
      </c>
      <c r="T13" s="40" t="n">
        <f aca="false">E13+J13+O13+Q13+R13+S13</f>
        <v>23.0051982097902</v>
      </c>
      <c r="U13" s="40" t="n">
        <f aca="false">E13+K13+O13+P13+Q13+R13+S13</f>
        <v>19.3568978741259</v>
      </c>
      <c r="V13" s="34" t="n">
        <f aca="false">T13/G13</f>
        <v>0.460196003396483</v>
      </c>
      <c r="W13" s="34" t="n">
        <f aca="false">U13/G13</f>
        <v>0.38721540056263</v>
      </c>
      <c r="X13" s="16" t="n">
        <v>6.6</v>
      </c>
      <c r="Y13" s="35" t="n">
        <f aca="false">G13*Assumptions!$F$19</f>
        <v>7.4985</v>
      </c>
      <c r="Z13" s="40" t="n">
        <f aca="false">G13*$B$26</f>
        <v>5.9988</v>
      </c>
      <c r="AA13" s="40" t="n">
        <f aca="false">G13*$B$27</f>
        <v>2.4995</v>
      </c>
      <c r="AB13" s="17" t="n">
        <f aca="false">G13-T13-X13-Y13-Z13-AA13</f>
        <v>4.38800179020979</v>
      </c>
      <c r="AC13" s="34" t="n">
        <f aca="false">AB13/G13</f>
        <v>0.0877775913224603</v>
      </c>
      <c r="AD13" s="17" t="n">
        <f aca="false">G13-U13-X13-Y13-Z13-AA13</f>
        <v>8.03630212587413</v>
      </c>
      <c r="AE13" s="34" t="n">
        <f aca="false">AD13/G13</f>
        <v>0.160758194156314</v>
      </c>
      <c r="AF13" s="6" t="s">
        <v>329</v>
      </c>
    </row>
    <row r="14" customFormat="false" ht="15" hidden="false" customHeight="false" outlineLevel="0" collapsed="false">
      <c r="A14" s="3" t="s">
        <v>341</v>
      </c>
      <c r="B14" s="3" t="s">
        <v>338</v>
      </c>
      <c r="C14" s="12" t="n">
        <v>40</v>
      </c>
      <c r="D14" s="33" t="n">
        <v>22609</v>
      </c>
      <c r="E14" s="40" t="n">
        <f aca="false">D14/FXRate*$B$18</f>
        <v>14.5456503496504</v>
      </c>
      <c r="F14" s="16" t="n">
        <v>74.99</v>
      </c>
      <c r="G14" s="16" t="n">
        <v>59.99</v>
      </c>
      <c r="H14" s="20" t="n">
        <v>1.5</v>
      </c>
      <c r="I14" s="41" t="n">
        <f aca="false">H14*$B$21</f>
        <v>0.6804</v>
      </c>
      <c r="J14" s="40" t="n">
        <f aca="false">I14*$B$19</f>
        <v>5.7834</v>
      </c>
      <c r="K14" s="40" t="n">
        <f aca="false">I14*$B$20</f>
        <v>0.74844</v>
      </c>
      <c r="L14" s="35" t="n">
        <f aca="false">E14*'Landed Cost &amp; Tariff Scenarios'!$G$5</f>
        <v>5.83280579020979</v>
      </c>
      <c r="M14" s="35" t="n">
        <f aca="false">E14*'Landed Cost &amp; Tariff Scenarios'!$G$6</f>
        <v>1.81820629370629</v>
      </c>
      <c r="N14" s="35" t="n">
        <f aca="false">E14*'Landed Cost &amp; Tariff Scenarios'!$G$7</f>
        <v>7.28737082517483</v>
      </c>
      <c r="O14" s="40" t="n">
        <f aca="false">INDEX(L14:N14,1,DutyScenario)</f>
        <v>5.83280579020979</v>
      </c>
      <c r="P14" s="40" t="n">
        <f aca="false">E14*$B$22</f>
        <v>0.0509097762237762</v>
      </c>
      <c r="Q14" s="40" t="n">
        <f aca="false">$B$23</f>
        <v>0.4</v>
      </c>
      <c r="R14" s="40" t="n">
        <f aca="false">$B$24</f>
        <v>0.5</v>
      </c>
      <c r="S14" s="40" t="n">
        <f aca="false">$B$25</f>
        <v>0.25</v>
      </c>
      <c r="T14" s="40" t="n">
        <f aca="false">E14+J14+O14+Q14+R14+S14</f>
        <v>27.3118561398601</v>
      </c>
      <c r="U14" s="40" t="n">
        <f aca="false">E14+K14+O14+P14+Q14+R14+S14</f>
        <v>22.3278059160839</v>
      </c>
      <c r="V14" s="34" t="n">
        <f aca="false">T14/G14</f>
        <v>0.455273481244543</v>
      </c>
      <c r="W14" s="34" t="n">
        <f aca="false">U14/G14</f>
        <v>0.372192130623169</v>
      </c>
      <c r="X14" s="16" t="n">
        <v>8.4</v>
      </c>
      <c r="Y14" s="35" t="n">
        <f aca="false">G14*Assumptions!$F$19</f>
        <v>8.9985</v>
      </c>
      <c r="Z14" s="40" t="n">
        <f aca="false">G14*$B$26</f>
        <v>7.1988</v>
      </c>
      <c r="AA14" s="40" t="n">
        <f aca="false">G14*$B$27</f>
        <v>2.9995</v>
      </c>
      <c r="AB14" s="17" t="n">
        <f aca="false">G14-T14-X14-Y14-Z14-AA14</f>
        <v>5.08134386013986</v>
      </c>
      <c r="AC14" s="34" t="n">
        <f aca="false">AB14/G14</f>
        <v>0.0847031815325865</v>
      </c>
      <c r="AD14" s="17" t="n">
        <f aca="false">G14-U14-X14-Y14-Z14-AA14</f>
        <v>10.0653940839161</v>
      </c>
      <c r="AE14" s="34" t="n">
        <f aca="false">AD14/G14</f>
        <v>0.167784532153961</v>
      </c>
      <c r="AF14" s="6" t="s">
        <v>335</v>
      </c>
    </row>
    <row r="15" customFormat="false" ht="15" hidden="false" customHeight="false" outlineLevel="0" collapsed="false">
      <c r="A15" s="4" t="s">
        <v>342</v>
      </c>
    </row>
    <row r="17" customFormat="false" ht="15" hidden="false" customHeight="false" outlineLevel="0" collapsed="false">
      <c r="A17" s="5" t="s">
        <v>343</v>
      </c>
    </row>
    <row r="18" customFormat="false" ht="15" hidden="false" customHeight="false" outlineLevel="0" collapsed="false">
      <c r="A18" s="3" t="s">
        <v>344</v>
      </c>
      <c r="B18" s="20" t="n">
        <v>0.92</v>
      </c>
      <c r="C18" s="3" t="s">
        <v>80</v>
      </c>
      <c r="D18" s="3"/>
    </row>
    <row r="19" customFormat="false" ht="15" hidden="false" customHeight="false" outlineLevel="0" collapsed="false">
      <c r="A19" s="3" t="s">
        <v>345</v>
      </c>
      <c r="B19" s="16" t="n">
        <v>8.5</v>
      </c>
      <c r="C19" s="3" t="s">
        <v>80</v>
      </c>
      <c r="D19" s="3" t="s">
        <v>346</v>
      </c>
    </row>
    <row r="20" customFormat="false" ht="15" hidden="false" customHeight="false" outlineLevel="0" collapsed="false">
      <c r="A20" s="3" t="s">
        <v>347</v>
      </c>
      <c r="B20" s="16" t="n">
        <v>1.1</v>
      </c>
      <c r="C20" s="3" t="s">
        <v>80</v>
      </c>
      <c r="D20" s="3"/>
    </row>
    <row r="21" customFormat="false" ht="15" hidden="false" customHeight="false" outlineLevel="0" collapsed="false">
      <c r="A21" s="3" t="s">
        <v>348</v>
      </c>
      <c r="B21" s="52" t="n">
        <v>0.4536</v>
      </c>
      <c r="C21" s="3" t="s">
        <v>63</v>
      </c>
      <c r="D21" s="3"/>
    </row>
    <row r="22" customFormat="false" ht="15" hidden="false" customHeight="false" outlineLevel="0" collapsed="false">
      <c r="A22" s="3" t="s">
        <v>349</v>
      </c>
      <c r="B22" s="53" t="n">
        <v>0.0035</v>
      </c>
      <c r="C22" s="3" t="s">
        <v>80</v>
      </c>
      <c r="D22" s="3"/>
    </row>
    <row r="23" customFormat="false" ht="15" hidden="false" customHeight="false" outlineLevel="0" collapsed="false">
      <c r="A23" s="3" t="s">
        <v>350</v>
      </c>
      <c r="B23" s="16" t="n">
        <v>0.4</v>
      </c>
      <c r="C23" s="3" t="s">
        <v>80</v>
      </c>
      <c r="D23" s="3" t="s">
        <v>351</v>
      </c>
    </row>
    <row r="24" customFormat="false" ht="15" hidden="false" customHeight="false" outlineLevel="0" collapsed="false">
      <c r="A24" s="3" t="s">
        <v>352</v>
      </c>
      <c r="B24" s="16" t="n">
        <v>0.5</v>
      </c>
      <c r="C24" s="3" t="s">
        <v>80</v>
      </c>
      <c r="D24" s="3"/>
    </row>
    <row r="25" customFormat="false" ht="15" hidden="false" customHeight="false" outlineLevel="0" collapsed="false">
      <c r="A25" s="3" t="s">
        <v>353</v>
      </c>
      <c r="B25" s="16" t="n">
        <v>0.25</v>
      </c>
      <c r="C25" s="3" t="s">
        <v>80</v>
      </c>
      <c r="D25" s="3"/>
    </row>
    <row r="26" customFormat="false" ht="15" hidden="false" customHeight="false" outlineLevel="0" collapsed="false">
      <c r="A26" s="3" t="s">
        <v>354</v>
      </c>
      <c r="B26" s="18" t="n">
        <v>0.12</v>
      </c>
      <c r="C26" s="3" t="s">
        <v>63</v>
      </c>
      <c r="D26" s="3"/>
    </row>
    <row r="27" customFormat="false" ht="15" hidden="false" customHeight="false" outlineLevel="0" collapsed="false">
      <c r="A27" s="3" t="s">
        <v>355</v>
      </c>
      <c r="B27" s="18" t="n">
        <v>0.05</v>
      </c>
      <c r="C27" s="3" t="s">
        <v>63</v>
      </c>
      <c r="D27" s="3"/>
    </row>
    <row r="28" customFormat="false" ht="15" hidden="false" customHeight="false" outlineLevel="0" collapsed="false">
      <c r="A28" s="3" t="s">
        <v>356</v>
      </c>
      <c r="B28" s="16" t="n">
        <v>5.5</v>
      </c>
      <c r="C28" s="3" t="s">
        <v>63</v>
      </c>
      <c r="D28" s="3"/>
    </row>
    <row r="29" customFormat="false" ht="15" hidden="false" customHeight="false" outlineLevel="0" collapsed="false">
      <c r="A29" s="3" t="s">
        <v>357</v>
      </c>
      <c r="B29" s="16" t="n">
        <v>17</v>
      </c>
      <c r="C29" s="3" t="s">
        <v>63</v>
      </c>
      <c r="D29" s="3" t="s">
        <v>358</v>
      </c>
    </row>
    <row r="30" customFormat="false" ht="15" hidden="false" customHeight="false" outlineLevel="0" collapsed="false">
      <c r="A30" s="3" t="s">
        <v>359</v>
      </c>
      <c r="B30" s="16" t="n">
        <v>22</v>
      </c>
      <c r="C30" s="3" t="s">
        <v>63</v>
      </c>
      <c r="D30" s="3" t="s">
        <v>358</v>
      </c>
    </row>
    <row r="32" customFormat="false" ht="15" hidden="false" customHeight="false" outlineLevel="0" collapsed="false">
      <c r="A32" s="5" t="s">
        <v>360</v>
      </c>
    </row>
    <row r="33" customFormat="false" ht="15" hidden="false" customHeight="false" outlineLevel="0" collapsed="false">
      <c r="A33" s="3" t="s">
        <v>361</v>
      </c>
      <c r="B33" s="16" t="n">
        <v>44.99</v>
      </c>
    </row>
    <row r="34" customFormat="false" ht="15" hidden="false" customHeight="false" outlineLevel="0" collapsed="false">
      <c r="A34" s="3" t="s">
        <v>362</v>
      </c>
      <c r="B34" s="16" t="n">
        <v>59.99</v>
      </c>
    </row>
    <row r="35" customFormat="false" ht="15" hidden="false" customHeight="false" outlineLevel="0" collapsed="false">
      <c r="A35" s="3" t="s">
        <v>363</v>
      </c>
      <c r="B35" s="18" t="n">
        <v>0.38</v>
      </c>
    </row>
    <row r="36" customFormat="false" ht="15" hidden="false" customHeight="false" outlineLevel="0" collapsed="false">
      <c r="A36" s="3" t="s">
        <v>364</v>
      </c>
      <c r="B36" s="40" t="n">
        <f aca="false">B33*B35</f>
        <v>17.0962</v>
      </c>
    </row>
    <row r="37" customFormat="false" ht="15" hidden="false" customHeight="false" outlineLevel="0" collapsed="false">
      <c r="A37" s="3" t="s">
        <v>365</v>
      </c>
      <c r="B37" s="54" t="n">
        <f aca="false">Assumptions!$F$19</f>
        <v>0.15</v>
      </c>
    </row>
    <row r="38" customFormat="false" ht="15" hidden="false" customHeight="false" outlineLevel="0" collapsed="false">
      <c r="A38" s="3" t="s">
        <v>366</v>
      </c>
      <c r="B38" s="40" t="n">
        <f aca="false">B33*B37</f>
        <v>6.7485</v>
      </c>
    </row>
    <row r="39" customFormat="false" ht="15" hidden="false" customHeight="false" outlineLevel="0" collapsed="false">
      <c r="A39" s="3" t="s">
        <v>367</v>
      </c>
      <c r="B39" s="40" t="n">
        <f aca="false">$B$28</f>
        <v>5.5</v>
      </c>
    </row>
    <row r="40" customFormat="false" ht="15" hidden="false" customHeight="false" outlineLevel="0" collapsed="false">
      <c r="A40" s="3" t="s">
        <v>368</v>
      </c>
      <c r="B40" s="34" t="n">
        <f aca="false">$B$26</f>
        <v>0.12</v>
      </c>
    </row>
    <row r="41" customFormat="false" ht="15" hidden="false" customHeight="false" outlineLevel="0" collapsed="false">
      <c r="A41" s="3" t="s">
        <v>369</v>
      </c>
      <c r="B41" s="40" t="n">
        <f aca="false">B33*B40</f>
        <v>5.3988</v>
      </c>
    </row>
    <row r="42" customFormat="false" ht="15" hidden="false" customHeight="false" outlineLevel="0" collapsed="false">
      <c r="A42" s="3" t="s">
        <v>370</v>
      </c>
      <c r="B42" s="34" t="n">
        <f aca="false">$B$27</f>
        <v>0.05</v>
      </c>
    </row>
    <row r="43" customFormat="false" ht="15" hidden="false" customHeight="false" outlineLevel="0" collapsed="false">
      <c r="A43" s="3" t="s">
        <v>371</v>
      </c>
      <c r="B43" s="40" t="n">
        <f aca="false">B33*B42</f>
        <v>2.2495</v>
      </c>
    </row>
    <row r="44" customFormat="false" ht="15" hidden="false" customHeight="false" outlineLevel="0" collapsed="false">
      <c r="A44" s="3" t="s">
        <v>372</v>
      </c>
      <c r="B44" s="55" t="n">
        <f aca="false">B33-B36-B38-B39-B41-B43</f>
        <v>7.997</v>
      </c>
    </row>
    <row r="45" customFormat="false" ht="15" hidden="false" customHeight="false" outlineLevel="0" collapsed="false">
      <c r="A45" s="3" t="s">
        <v>373</v>
      </c>
      <c r="B45" s="56" t="n">
        <f aca="false">B44/B33</f>
        <v>0.177750611246944</v>
      </c>
    </row>
    <row r="46" customFormat="false" ht="15" hidden="false" customHeight="false" outlineLevel="0" collapsed="false">
      <c r="A46" s="3" t="s">
        <v>374</v>
      </c>
      <c r="B46" s="16" t="n">
        <v>1.86</v>
      </c>
    </row>
    <row r="47" customFormat="false" ht="15" hidden="false" customHeight="false" outlineLevel="0" collapsed="false">
      <c r="A47" s="3" t="s">
        <v>375</v>
      </c>
      <c r="B47" s="40" t="n">
        <f aca="false">B44+B41</f>
        <v>13.3958</v>
      </c>
    </row>
    <row r="48" customFormat="false" ht="15" hidden="false" customHeight="false" outlineLevel="0" collapsed="false">
      <c r="A48" s="3" t="s">
        <v>376</v>
      </c>
      <c r="B48" s="57" t="n">
        <f aca="false">$D$6/Assumptions!$F$111*$B$18/$B$33</f>
        <v>0.164020909075366</v>
      </c>
    </row>
    <row r="49" customFormat="false" ht="15" hidden="false" customHeight="false" outlineLevel="0" collapsed="false">
      <c r="A49" s="3" t="s">
        <v>377</v>
      </c>
      <c r="B49" s="40" t="n">
        <f aca="false">E6</f>
        <v>7.3793006993007</v>
      </c>
    </row>
    <row r="51" customFormat="false" ht="15" hidden="false" customHeight="false" outlineLevel="0" collapsed="false">
      <c r="A51" s="5" t="s">
        <v>378</v>
      </c>
    </row>
    <row r="52" customFormat="false" ht="15" hidden="false" customHeight="false" outlineLevel="0" collapsed="false">
      <c r="A52" s="14" t="s">
        <v>379</v>
      </c>
      <c r="B52" s="14" t="s">
        <v>299</v>
      </c>
      <c r="C52" s="14" t="s">
        <v>380</v>
      </c>
      <c r="D52" s="14" t="s">
        <v>364</v>
      </c>
      <c r="E52" s="14" t="s">
        <v>381</v>
      </c>
      <c r="F52" s="14" t="s">
        <v>382</v>
      </c>
      <c r="G52" s="14" t="s">
        <v>373</v>
      </c>
      <c r="H52" s="14" t="s">
        <v>58</v>
      </c>
    </row>
    <row r="53" customFormat="false" ht="15" hidden="false" customHeight="false" outlineLevel="0" collapsed="false">
      <c r="A53" s="3" t="s">
        <v>383</v>
      </c>
      <c r="B53" s="40" t="n">
        <f aca="false">E6</f>
        <v>7.3793006993007</v>
      </c>
      <c r="C53" s="35" t="n">
        <f aca="false">J6+B53*'Landed Cost &amp; Tariff Scenarios'!$G$9+Q6+R6+S6</f>
        <v>5.84411958041958</v>
      </c>
      <c r="D53" s="40" t="n">
        <f aca="false">B53+C53</f>
        <v>13.2234202797203</v>
      </c>
      <c r="E53" s="34" t="n">
        <f aca="false">D53/B33</f>
        <v>0.293919099349195</v>
      </c>
      <c r="F53" s="17" t="n">
        <f aca="false">B33-D53-B38-B39-B41-B43</f>
        <v>11.8697797202797</v>
      </c>
      <c r="G53" s="34" t="n">
        <f aca="false">F53/B33</f>
        <v>0.263831511897749</v>
      </c>
      <c r="H53" s="3" t="s">
        <v>384</v>
      </c>
    </row>
    <row r="54" customFormat="false" ht="15" hidden="false" customHeight="false" outlineLevel="0" collapsed="false">
      <c r="A54" s="3" t="s">
        <v>385</v>
      </c>
      <c r="B54" s="3"/>
      <c r="C54" s="3"/>
      <c r="D54" s="40" t="n">
        <f aca="false">B36</f>
        <v>17.0962</v>
      </c>
      <c r="E54" s="34" t="n">
        <f aca="false">D54/B33</f>
        <v>0.38</v>
      </c>
      <c r="F54" s="17" t="n">
        <f aca="false">B33-D54-B38-B39-B41-B43</f>
        <v>7.997</v>
      </c>
      <c r="G54" s="34" t="n">
        <f aca="false">F54/B33</f>
        <v>0.177750611246944</v>
      </c>
      <c r="H54" s="3" t="s">
        <v>386</v>
      </c>
    </row>
    <row r="55" customFormat="false" ht="15" hidden="false" customHeight="false" outlineLevel="0" collapsed="false">
      <c r="A55" s="3" t="s">
        <v>387</v>
      </c>
      <c r="B55" s="40" t="n">
        <f aca="false">$B$29</f>
        <v>17</v>
      </c>
      <c r="C55" s="35" t="n">
        <f aca="false">J6+B55*'Landed Cost &amp; Tariff Scenarios'!$G$9+Q6+R6+S6</f>
        <v>9.70202</v>
      </c>
      <c r="D55" s="40" t="n">
        <f aca="false">B55+C55</f>
        <v>26.70202</v>
      </c>
      <c r="E55" s="34" t="n">
        <f aca="false">D55/B33</f>
        <v>0.593510113358524</v>
      </c>
      <c r="F55" s="17" t="n">
        <f aca="false">B33-D55-B38-B39-B41-B43</f>
        <v>-1.60882</v>
      </c>
      <c r="G55" s="34" t="n">
        <f aca="false">F55/B33</f>
        <v>-0.0357595021115803</v>
      </c>
      <c r="H55" s="3" t="s">
        <v>388</v>
      </c>
    </row>
    <row r="56" customFormat="false" ht="15" hidden="false" customHeight="false" outlineLevel="0" collapsed="false">
      <c r="A56" s="3" t="s">
        <v>389</v>
      </c>
      <c r="B56" s="40" t="n">
        <f aca="false">$B$30</f>
        <v>22</v>
      </c>
      <c r="C56" s="35" t="n">
        <f aca="false">J6+B56*'Landed Cost &amp; Tariff Scenarios'!$G$9+Q6+R6+S6</f>
        <v>11.70702</v>
      </c>
      <c r="D56" s="40" t="n">
        <f aca="false">B56+C56</f>
        <v>33.70702</v>
      </c>
      <c r="E56" s="34" t="n">
        <f aca="false">D56/B33</f>
        <v>0.749211380306735</v>
      </c>
      <c r="F56" s="17" t="n">
        <f aca="false">B33-D56-B38-B39-B41-B43</f>
        <v>-8.61382</v>
      </c>
      <c r="G56" s="34" t="n">
        <f aca="false">F56/B33</f>
        <v>-0.191460769059791</v>
      </c>
      <c r="H56" s="3" t="s">
        <v>388</v>
      </c>
    </row>
    <row r="57" customFormat="false" ht="15" hidden="false" customHeight="false" outlineLevel="0" collapsed="false">
      <c r="A57" s="10" t="s">
        <v>390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5" min="5" style="1" width="20"/>
    <col collapsed="false" customWidth="true" hidden="false" outlineLevel="0" max="6" min="6" style="1" width="16"/>
    <col collapsed="false" customWidth="true" hidden="false" outlineLevel="0" max="7" min="7" style="1" width="12"/>
    <col collapsed="false" customWidth="true" hidden="false" outlineLevel="0" max="8" min="8" style="1" width="60"/>
  </cols>
  <sheetData>
    <row r="1" customFormat="false" ht="17.35" hidden="false" customHeight="false" outlineLevel="0" collapsed="false">
      <c r="A1" s="11" t="s">
        <v>391</v>
      </c>
    </row>
    <row r="2" customFormat="false" ht="15" hidden="false" customHeight="false" outlineLevel="0" collapsed="false">
      <c r="A2" s="4" t="s">
        <v>392</v>
      </c>
    </row>
    <row r="4" customFormat="false" ht="42" hidden="false" customHeight="true" outlineLevel="0" collapsed="false">
      <c r="A4" s="39" t="s">
        <v>393</v>
      </c>
      <c r="B4" s="39" t="s">
        <v>394</v>
      </c>
      <c r="C4" s="39" t="s">
        <v>395</v>
      </c>
      <c r="D4" s="39" t="s">
        <v>396</v>
      </c>
      <c r="E4" s="39" t="s">
        <v>397</v>
      </c>
      <c r="F4" s="39" t="s">
        <v>398</v>
      </c>
      <c r="G4" s="39" t="s">
        <v>399</v>
      </c>
      <c r="H4" s="39" t="s">
        <v>58</v>
      </c>
    </row>
    <row r="5" customFormat="false" ht="15" hidden="false" customHeight="false" outlineLevel="0" collapsed="false">
      <c r="A5" s="9" t="s">
        <v>400</v>
      </c>
      <c r="B5" s="3" t="s">
        <v>401</v>
      </c>
      <c r="C5" s="18" t="n">
        <v>0.026</v>
      </c>
      <c r="D5" s="18" t="n">
        <v>0.25</v>
      </c>
      <c r="E5" s="18" t="n">
        <v>0.125</v>
      </c>
      <c r="F5" s="18" t="n">
        <v>0</v>
      </c>
      <c r="G5" s="19" t="n">
        <f aca="false">SUM(C5:F5)</f>
        <v>0.401</v>
      </c>
      <c r="H5" s="3" t="s">
        <v>63</v>
      </c>
    </row>
    <row r="6" customFormat="false" ht="15" hidden="false" customHeight="false" outlineLevel="0" collapsed="false">
      <c r="A6" s="9" t="s">
        <v>402</v>
      </c>
      <c r="B6" s="3" t="s">
        <v>403</v>
      </c>
      <c r="C6" s="18" t="n">
        <v>0</v>
      </c>
      <c r="D6" s="18" t="n">
        <v>0</v>
      </c>
      <c r="E6" s="18" t="n">
        <v>0.125</v>
      </c>
      <c r="F6" s="18" t="n">
        <v>0</v>
      </c>
      <c r="G6" s="19" t="n">
        <f aca="false">SUM(C6:F6)</f>
        <v>0.125</v>
      </c>
      <c r="H6" s="3" t="s">
        <v>404</v>
      </c>
    </row>
    <row r="7" customFormat="false" ht="15" hidden="false" customHeight="false" outlineLevel="0" collapsed="false">
      <c r="A7" s="9" t="s">
        <v>405</v>
      </c>
      <c r="B7" s="3" t="s">
        <v>406</v>
      </c>
      <c r="C7" s="18" t="n">
        <v>0.026</v>
      </c>
      <c r="D7" s="18" t="n">
        <v>0.25</v>
      </c>
      <c r="E7" s="18" t="n">
        <v>0.125</v>
      </c>
      <c r="F7" s="18" t="n">
        <v>0.1</v>
      </c>
      <c r="G7" s="19" t="n">
        <f aca="false">SUM(C7:F7)</f>
        <v>0.501</v>
      </c>
      <c r="H7" s="3" t="s">
        <v>80</v>
      </c>
    </row>
    <row r="8" customFormat="false" ht="15" hidden="false" customHeight="false" outlineLevel="0" collapsed="false">
      <c r="A8" s="3" t="s">
        <v>407</v>
      </c>
      <c r="B8" s="3" t="s">
        <v>403</v>
      </c>
      <c r="C8" s="18" t="n">
        <v>0</v>
      </c>
      <c r="D8" s="18" t="n">
        <v>0.25</v>
      </c>
      <c r="E8" s="18" t="n">
        <v>0.125</v>
      </c>
      <c r="F8" s="18" t="n">
        <v>0</v>
      </c>
      <c r="G8" s="19" t="n">
        <f aca="false">SUM(C8:F8)</f>
        <v>0.375</v>
      </c>
      <c r="H8" s="3" t="s">
        <v>408</v>
      </c>
    </row>
    <row r="9" customFormat="false" ht="15" hidden="false" customHeight="false" outlineLevel="0" collapsed="false">
      <c r="A9" s="9" t="s">
        <v>409</v>
      </c>
      <c r="G9" s="56" t="n">
        <f aca="false">INDEX($G$5:$G$7,DutyScenario,1)</f>
        <v>0.401</v>
      </c>
    </row>
    <row r="10" customFormat="false" ht="15" hidden="false" customHeight="false" outlineLevel="0" collapsed="false">
      <c r="A10" s="3" t="s">
        <v>410</v>
      </c>
      <c r="G10" s="34" t="n">
        <f aca="false">$G$5</f>
        <v>0.401</v>
      </c>
    </row>
    <row r="12" customFormat="false" ht="15" hidden="false" customHeight="false" outlineLevel="0" collapsed="false">
      <c r="A12" s="5" t="s">
        <v>411</v>
      </c>
    </row>
    <row r="13" customFormat="false" ht="15" hidden="false" customHeight="false" outlineLevel="0" collapsed="false">
      <c r="A13" s="3" t="s">
        <v>412</v>
      </c>
      <c r="C13" s="54" t="n">
        <f aca="false">Assumptions!$F$11</f>
        <v>0.38</v>
      </c>
    </row>
    <row r="14" customFormat="false" ht="15" hidden="false" customHeight="false" outlineLevel="0" collapsed="false">
      <c r="A14" s="3" t="s">
        <v>413</v>
      </c>
      <c r="C14" s="58" t="n">
        <f aca="false">(DutyRateActive-DutyRateCopper)*HeroFobShare</f>
        <v>0</v>
      </c>
    </row>
    <row r="15" customFormat="false" ht="15" hidden="false" customHeight="false" outlineLevel="0" collapsed="false">
      <c r="A15" s="3" t="s">
        <v>414</v>
      </c>
      <c r="C15" s="53" t="n">
        <v>0</v>
      </c>
    </row>
    <row r="16" customFormat="false" ht="15" hidden="false" customHeight="false" outlineLevel="0" collapsed="false">
      <c r="A16" s="3" t="s">
        <v>415</v>
      </c>
      <c r="C16" s="36" t="n">
        <f aca="false">HeroFobShare*(Assumptions!$F$111/FXRate-1)</f>
        <v>0</v>
      </c>
    </row>
    <row r="17" customFormat="false" ht="15" hidden="false" customHeight="false" outlineLevel="0" collapsed="false">
      <c r="A17" s="3" t="s">
        <v>416</v>
      </c>
      <c r="C17" s="56" t="n">
        <f aca="false">C13+C14+C15+C16</f>
        <v>0.38</v>
      </c>
    </row>
    <row r="18" customFormat="false" ht="15" hidden="false" customHeight="false" outlineLevel="0" collapsed="false">
      <c r="A18" s="4" t="s">
        <v>417</v>
      </c>
    </row>
    <row r="20" customFormat="false" ht="15" hidden="false" customHeight="false" outlineLevel="0" collapsed="false">
      <c r="A20" s="5" t="s">
        <v>418</v>
      </c>
    </row>
    <row r="21" customFormat="false" ht="46.25" hidden="false" customHeight="false" outlineLevel="0" collapsed="false">
      <c r="A21" s="39" t="s">
        <v>393</v>
      </c>
      <c r="B21" s="39" t="s">
        <v>400</v>
      </c>
      <c r="C21" s="39" t="s">
        <v>402</v>
      </c>
      <c r="D21" s="39" t="s">
        <v>405</v>
      </c>
      <c r="E21" s="39" t="s">
        <v>419</v>
      </c>
      <c r="F21" s="39" t="s">
        <v>420</v>
      </c>
    </row>
    <row r="22" customFormat="false" ht="15" hidden="false" customHeight="false" outlineLevel="0" collapsed="false">
      <c r="A22" s="9" t="s">
        <v>54</v>
      </c>
      <c r="B22" s="54" t="n">
        <f aca="false">Assumptions!$C$11+($G$5-DutyRateCopper)*HeroFobShare+LandedFreightDelta+LandedFxDelta</f>
        <v>0.43</v>
      </c>
      <c r="C22" s="54" t="n">
        <f aca="false">Assumptions!$C$11+($G$6-DutyRateCopper)*HeroFobShare+LandedFreightDelta+LandedFxDelta</f>
        <v>0.384730229095199</v>
      </c>
      <c r="D22" s="54" t="n">
        <f aca="false">Assumptions!$C$11+($G$7-DutyRateCopper)*HeroFobShare+LandedFreightDelta+LandedFxDelta</f>
        <v>0.446402090907537</v>
      </c>
      <c r="E22" s="19" t="n">
        <f aca="false">INDEX(B22:D22,1,DutyScenario)</f>
        <v>0.43</v>
      </c>
      <c r="F22" s="40" t="n">
        <f aca="false">ue_hero_price*(1-E22)-ue_hero_referral-ue_hero_fba-ue_hero_ads-ue_hero_returns_storage</f>
        <v>5.74750000000001</v>
      </c>
    </row>
    <row r="23" customFormat="false" ht="15" hidden="false" customHeight="false" outlineLevel="0" collapsed="false">
      <c r="A23" s="9" t="s">
        <v>55</v>
      </c>
      <c r="B23" s="54" t="n">
        <f aca="false">Assumptions!$D$11+($G$5-DutyRateCopper)*HeroFobShare+LandedFreightDelta+LandedFxDelta</f>
        <v>0.38</v>
      </c>
      <c r="C23" s="54" t="n">
        <f aca="false">Assumptions!$D$11+($G$6-DutyRateCopper)*HeroFobShare+LandedFreightDelta+LandedFxDelta</f>
        <v>0.334730229095199</v>
      </c>
      <c r="D23" s="54" t="n">
        <f aca="false">Assumptions!$D$11+($G$7-DutyRateCopper)*HeroFobShare+LandedFreightDelta+LandedFxDelta</f>
        <v>0.396402090907537</v>
      </c>
      <c r="E23" s="19" t="n">
        <f aca="false">INDEX(B23:D23,1,DutyScenario)</f>
        <v>0.38</v>
      </c>
      <c r="F23" s="40" t="n">
        <f aca="false">ue_hero_price*(1-E23)-ue_hero_referral-ue_hero_fba-ue_hero_ads-ue_hero_returns_storage</f>
        <v>7.997</v>
      </c>
    </row>
    <row r="24" customFormat="false" ht="15" hidden="false" customHeight="false" outlineLevel="0" collapsed="false">
      <c r="A24" s="9" t="s">
        <v>56</v>
      </c>
      <c r="B24" s="54" t="n">
        <f aca="false">Assumptions!$E$11+($G$5-DutyRateCopper)*HeroFobShare+LandedFreightDelta+LandedFxDelta</f>
        <v>0.32</v>
      </c>
      <c r="C24" s="54" t="n">
        <f aca="false">Assumptions!$E$11+($G$6-DutyRateCopper)*HeroFobShare+LandedFreightDelta+LandedFxDelta</f>
        <v>0.274730229095199</v>
      </c>
      <c r="D24" s="54" t="n">
        <f aca="false">Assumptions!$E$11+($G$7-DutyRateCopper)*HeroFobShare+LandedFreightDelta+LandedFxDelta</f>
        <v>0.336402090907537</v>
      </c>
      <c r="E24" s="19" t="n">
        <f aca="false">INDEX(B24:D24,1,DutyScenario)</f>
        <v>0.32</v>
      </c>
      <c r="F24" s="40" t="n">
        <f aca="false">ue_hero_price*(1-E24)-ue_hero_referral-ue_hero_fba-ue_hero_ads-ue_hero_returns_storage</f>
        <v>10.6964</v>
      </c>
    </row>
    <row r="26" customFormat="false" ht="15" hidden="false" customHeight="false" outlineLevel="0" collapsed="false">
      <c r="A26" s="5" t="s">
        <v>421</v>
      </c>
    </row>
    <row r="27" customFormat="false" ht="15" hidden="false" customHeight="false" outlineLevel="0" collapsed="false">
      <c r="A27" s="14" t="s">
        <v>422</v>
      </c>
      <c r="B27" s="14" t="s">
        <v>423</v>
      </c>
      <c r="C27" s="14" t="s">
        <v>381</v>
      </c>
      <c r="D27" s="14" t="s">
        <v>424</v>
      </c>
      <c r="E27" s="14" t="s">
        <v>425</v>
      </c>
      <c r="F27" s="14" t="s">
        <v>426</v>
      </c>
      <c r="G27" s="14" t="s">
        <v>427</v>
      </c>
      <c r="H27" s="14" t="s">
        <v>428</v>
      </c>
    </row>
    <row r="28" customFormat="false" ht="15" hidden="false" customHeight="false" outlineLevel="0" collapsed="false">
      <c r="A28" s="9" t="s">
        <v>400</v>
      </c>
      <c r="B28" s="34" t="n">
        <f aca="false">$G$5</f>
        <v>0.401</v>
      </c>
      <c r="C28" s="34" t="n">
        <f aca="false">B23</f>
        <v>0.38</v>
      </c>
      <c r="D28" s="17" t="n">
        <f aca="false">ue_hero_price*(1-C28)-ue_hero_referral-ue_hero_fba-ue_hero_ads-ue_hero_returns_storage</f>
        <v>7.997</v>
      </c>
    </row>
    <row r="29" customFormat="false" ht="15" hidden="false" customHeight="false" outlineLevel="0" collapsed="false">
      <c r="A29" s="9" t="s">
        <v>402</v>
      </c>
      <c r="B29" s="34" t="n">
        <f aca="false">$G$6</f>
        <v>0.125</v>
      </c>
      <c r="C29" s="34" t="n">
        <f aca="false">C23</f>
        <v>0.334730229095199</v>
      </c>
      <c r="D29" s="17" t="n">
        <f aca="false">ue_hero_price*(1-C29)-ue_hero_referral-ue_hero_fba-ue_hero_ads-ue_hero_returns_storage</f>
        <v>10.033686993007</v>
      </c>
    </row>
    <row r="30" customFormat="false" ht="15" hidden="false" customHeight="false" outlineLevel="0" collapsed="false">
      <c r="A30" s="9" t="s">
        <v>405</v>
      </c>
      <c r="B30" s="34" t="n">
        <f aca="false">$G$7</f>
        <v>0.501</v>
      </c>
      <c r="C30" s="34" t="n">
        <f aca="false">D23</f>
        <v>0.396402090907537</v>
      </c>
      <c r="D30" s="17" t="n">
        <f aca="false">ue_hero_price*(1-C30)-ue_hero_referral-ue_hero_fba-ue_hero_ads-ue_hero_returns_storage</f>
        <v>7.25906993006993</v>
      </c>
    </row>
    <row r="31" customFormat="false" ht="15" hidden="false" customHeight="false" outlineLevel="0" collapsed="false">
      <c r="E31" s="3" t="s">
        <v>429</v>
      </c>
      <c r="F31" s="40" t="n">
        <f aca="false">0</f>
        <v>0</v>
      </c>
      <c r="G31" s="40" t="n">
        <f aca="false">D28</f>
        <v>7.997</v>
      </c>
      <c r="H31" s="3" t="s">
        <v>430</v>
      </c>
    </row>
    <row r="32" customFormat="false" ht="15" hidden="false" customHeight="false" outlineLevel="0" collapsed="false">
      <c r="E32" s="3" t="s">
        <v>431</v>
      </c>
      <c r="F32" s="40" t="n">
        <f aca="false">D28</f>
        <v>7.997</v>
      </c>
      <c r="G32" s="40" t="n">
        <f aca="false">D29-D28</f>
        <v>2.036686993007</v>
      </c>
      <c r="H32" s="3" t="s">
        <v>432</v>
      </c>
    </row>
    <row r="33" customFormat="false" ht="15" hidden="false" customHeight="false" outlineLevel="0" collapsed="false">
      <c r="E33" s="3" t="s">
        <v>433</v>
      </c>
      <c r="F33" s="40" t="n">
        <f aca="false">0</f>
        <v>0</v>
      </c>
      <c r="G33" s="40" t="n">
        <f aca="false">D29</f>
        <v>10.033686993007</v>
      </c>
      <c r="H33" s="3" t="s">
        <v>430</v>
      </c>
    </row>
    <row r="34" customFormat="false" ht="15" hidden="false" customHeight="false" outlineLevel="0" collapsed="false">
      <c r="E34" s="3" t="s">
        <v>434</v>
      </c>
      <c r="F34" s="40" t="n">
        <f aca="false">D30</f>
        <v>7.25906993006993</v>
      </c>
      <c r="G34" s="40" t="n">
        <f aca="false">D28-D30</f>
        <v>0.737930069930069</v>
      </c>
      <c r="H34" s="3" t="s">
        <v>435</v>
      </c>
    </row>
    <row r="35" customFormat="false" ht="15" hidden="false" customHeight="false" outlineLevel="0" collapsed="false">
      <c r="E35" s="3" t="s">
        <v>436</v>
      </c>
      <c r="F35" s="40" t="n">
        <f aca="false">0</f>
        <v>0</v>
      </c>
      <c r="G35" s="40" t="n">
        <f aca="false">D30</f>
        <v>7.25906993006993</v>
      </c>
      <c r="H35" s="3" t="s">
        <v>430</v>
      </c>
    </row>
    <row r="37" customFormat="false" ht="15" hidden="false" customHeight="false" outlineLevel="0" collapsed="false">
      <c r="A37" s="5" t="s">
        <v>437</v>
      </c>
    </row>
    <row r="38" customFormat="false" ht="15" hidden="false" customHeight="false" outlineLevel="0" collapsed="false">
      <c r="A38" s="14" t="s">
        <v>393</v>
      </c>
      <c r="B38" s="14" t="s">
        <v>395</v>
      </c>
      <c r="C38" s="14" t="s">
        <v>438</v>
      </c>
      <c r="D38" s="14" t="s">
        <v>439</v>
      </c>
      <c r="E38" s="14" t="s">
        <v>440</v>
      </c>
      <c r="F38" s="14" t="s">
        <v>441</v>
      </c>
    </row>
    <row r="39" customFormat="false" ht="15" hidden="false" customHeight="false" outlineLevel="0" collapsed="false">
      <c r="A39" s="3" t="s">
        <v>400</v>
      </c>
      <c r="B39" s="34" t="n">
        <f aca="false">C5</f>
        <v>0.026</v>
      </c>
      <c r="C39" s="34" t="n">
        <f aca="false">D5</f>
        <v>0.25</v>
      </c>
      <c r="D39" s="34" t="n">
        <f aca="false">E5</f>
        <v>0.125</v>
      </c>
      <c r="E39" s="34" t="n">
        <f aca="false">F5</f>
        <v>0</v>
      </c>
      <c r="F39" s="19" t="n">
        <f aca="false">G5</f>
        <v>0.401</v>
      </c>
    </row>
    <row r="40" customFormat="false" ht="15" hidden="false" customHeight="false" outlineLevel="0" collapsed="false">
      <c r="A40" s="3" t="s">
        <v>402</v>
      </c>
      <c r="B40" s="34" t="n">
        <f aca="false">C6</f>
        <v>0</v>
      </c>
      <c r="C40" s="34" t="n">
        <f aca="false">D6</f>
        <v>0</v>
      </c>
      <c r="D40" s="34" t="n">
        <f aca="false">E6</f>
        <v>0.125</v>
      </c>
      <c r="E40" s="34" t="n">
        <f aca="false">F6</f>
        <v>0</v>
      </c>
      <c r="F40" s="19" t="n">
        <f aca="false">G6</f>
        <v>0.125</v>
      </c>
    </row>
    <row r="41" customFormat="false" ht="15" hidden="false" customHeight="false" outlineLevel="0" collapsed="false">
      <c r="A41" s="3" t="s">
        <v>405</v>
      </c>
      <c r="B41" s="34" t="n">
        <f aca="false">C7</f>
        <v>0.026</v>
      </c>
      <c r="C41" s="34" t="n">
        <f aca="false">D7</f>
        <v>0.25</v>
      </c>
      <c r="D41" s="34" t="n">
        <f aca="false">E7</f>
        <v>0.125</v>
      </c>
      <c r="E41" s="34" t="n">
        <f aca="false">F7</f>
        <v>0.1</v>
      </c>
      <c r="F41" s="19" t="n">
        <f aca="false">G7</f>
        <v>0.501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2" min="2" style="1" width="12"/>
    <col collapsed="false" customWidth="true" hidden="false" outlineLevel="0" max="29" min="3" style="1" width="11.5"/>
  </cols>
  <sheetData>
    <row r="1" customFormat="false" ht="17.35" hidden="false" customHeight="false" outlineLevel="0" collapsed="false">
      <c r="A1" s="11" t="s">
        <v>442</v>
      </c>
    </row>
    <row r="2" customFormat="false" ht="15" hidden="false" customHeight="false" outlineLevel="0" collapsed="false">
      <c r="A2" s="3" t="str">
        <f aca="false">"Active scenario: "&amp;ScenarioName&amp;". Duty: "&amp;DutyScenarioName&amp;". FX "&amp;TEXT(FXRate,"#,##0")&amp;" KRW per USD. Amazon US rows reproduce the August model through Month 18; Year 2 driver changes start in Month 19; eBay, Walmart and B2B rows start in Month 13."</f>
        <v>Active scenario: Medium. Duty: Copper. FX 1,430 KRW per USD. Amazon US rows reproduce the August model through Month 18; Year 2 driver changes start in Month 19; eBay, Walmart and B2B rows start in Month 13.</v>
      </c>
    </row>
    <row r="3" customFormat="false" ht="15" hidden="false" customHeight="false" outlineLevel="0" collapsed="false">
      <c r="A3" s="5" t="s">
        <v>443</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row>
    <row r="4" customFormat="false" ht="15" hidden="false" customHeight="false" outlineLevel="0" collapsed="false">
      <c r="A4" s="14" t="s">
        <v>444</v>
      </c>
      <c r="B4" s="14" t="s">
        <v>53</v>
      </c>
      <c r="C4" s="14" t="s">
        <v>445</v>
      </c>
      <c r="D4" s="14" t="s">
        <v>232</v>
      </c>
      <c r="E4" s="14" t="s">
        <v>234</v>
      </c>
      <c r="F4" s="14" t="s">
        <v>235</v>
      </c>
      <c r="G4" s="14" t="s">
        <v>236</v>
      </c>
      <c r="H4" s="14" t="s">
        <v>237</v>
      </c>
      <c r="I4" s="14" t="s">
        <v>238</v>
      </c>
      <c r="J4" s="14" t="s">
        <v>239</v>
      </c>
      <c r="K4" s="14" t="s">
        <v>240</v>
      </c>
      <c r="L4" s="14" t="s">
        <v>241</v>
      </c>
      <c r="M4" s="14" t="s">
        <v>242</v>
      </c>
      <c r="N4" s="14" t="s">
        <v>243</v>
      </c>
      <c r="O4" s="14" t="s">
        <v>244</v>
      </c>
      <c r="P4" s="14" t="s">
        <v>245</v>
      </c>
      <c r="Q4" s="14" t="s">
        <v>246</v>
      </c>
      <c r="R4" s="14" t="s">
        <v>247</v>
      </c>
      <c r="S4" s="14" t="s">
        <v>248</v>
      </c>
      <c r="T4" s="14" t="s">
        <v>249</v>
      </c>
      <c r="U4" s="14" t="s">
        <v>250</v>
      </c>
      <c r="V4" s="14" t="s">
        <v>251</v>
      </c>
      <c r="W4" s="14" t="s">
        <v>253</v>
      </c>
      <c r="X4" s="14" t="s">
        <v>254</v>
      </c>
      <c r="Y4" s="14" t="s">
        <v>255</v>
      </c>
      <c r="Z4" s="14" t="s">
        <v>256</v>
      </c>
      <c r="AA4" s="14" t="s">
        <v>257</v>
      </c>
      <c r="AB4" s="14" t="s">
        <v>446</v>
      </c>
      <c r="AC4" s="14" t="s">
        <v>447</v>
      </c>
    </row>
    <row r="5" customFormat="false" ht="15" hidden="false" customHeight="false" outlineLevel="0" collapsed="false">
      <c r="A5" s="3" t="s">
        <v>448</v>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c r="X5" s="30" t="n">
        <v>21</v>
      </c>
      <c r="Y5" s="30" t="n">
        <v>22</v>
      </c>
      <c r="Z5" s="30" t="n">
        <v>23</v>
      </c>
      <c r="AA5" s="30" t="n">
        <v>24</v>
      </c>
      <c r="AB5" s="4" t="s">
        <v>449</v>
      </c>
      <c r="AC5" s="4" t="s">
        <v>450</v>
      </c>
    </row>
    <row r="6" customFormat="false" ht="15" hidden="false" customHeight="false" outlineLevel="0" collapsed="false">
      <c r="A6" s="9" t="s">
        <v>451</v>
      </c>
    </row>
    <row r="7" customFormat="false" ht="15" hidden="false" customHeight="false" outlineLevel="0" collapsed="false">
      <c r="A7" s="9" t="s">
        <v>452</v>
      </c>
      <c r="B7" s="3" t="s">
        <v>95</v>
      </c>
      <c r="D7" s="59" t="n">
        <f aca="false">Assumptions!$F$137</f>
        <v>150</v>
      </c>
      <c r="E7" s="59" t="n">
        <f aca="false">Assumptions!$F$138</f>
        <v>240</v>
      </c>
      <c r="F7" s="59" t="n">
        <f aca="false">Assumptions!$F$139</f>
        <v>360</v>
      </c>
      <c r="G7" s="59" t="n">
        <f aca="false">Assumptions!$F$140</f>
        <v>500</v>
      </c>
      <c r="H7" s="59" t="n">
        <f aca="false">Assumptions!$F$141</f>
        <v>650</v>
      </c>
      <c r="I7" s="59" t="n">
        <f aca="false">Assumptions!$F$142</f>
        <v>820</v>
      </c>
      <c r="J7" s="59" t="n">
        <f aca="false">Assumptions!$F$143</f>
        <v>1000</v>
      </c>
      <c r="K7" s="59" t="n">
        <f aca="false">Assumptions!$F$144</f>
        <v>1200</v>
      </c>
      <c r="L7" s="59" t="n">
        <f aca="false">Assumptions!$F$145</f>
        <v>1400</v>
      </c>
      <c r="M7" s="59" t="n">
        <f aca="false">Assumptions!$F$146</f>
        <v>1600</v>
      </c>
      <c r="N7" s="59" t="n">
        <f aca="false">Assumptions!$F$147</f>
        <v>1800</v>
      </c>
      <c r="O7" s="59" t="n">
        <f aca="false">Assumptions!$F$148</f>
        <v>2050</v>
      </c>
      <c r="P7" s="59" t="n">
        <f aca="false">Assumptions!$F$149</f>
        <v>2250</v>
      </c>
      <c r="Q7" s="59" t="n">
        <f aca="false">Assumptions!$F$150</f>
        <v>2450</v>
      </c>
      <c r="R7" s="59" t="n">
        <f aca="false">Assumptions!$F$151</f>
        <v>2600</v>
      </c>
      <c r="S7" s="59" t="n">
        <f aca="false">Assumptions!$F$152</f>
        <v>2750</v>
      </c>
      <c r="T7" s="59" t="n">
        <f aca="false">Assumptions!$F$153</f>
        <v>2900</v>
      </c>
      <c r="U7" s="59" t="n">
        <f aca="false">Assumptions!$F$154</f>
        <v>3050</v>
      </c>
      <c r="V7" s="59" t="n">
        <f aca="false">Assumptions!$F$155</f>
        <v>3150</v>
      </c>
      <c r="W7" s="59" t="n">
        <f aca="false">Assumptions!$F$156</f>
        <v>3250</v>
      </c>
      <c r="X7" s="59" t="n">
        <f aca="false">Assumptions!$F$157</f>
        <v>3350</v>
      </c>
      <c r="Y7" s="59" t="n">
        <f aca="false">Assumptions!$F$158</f>
        <v>3450</v>
      </c>
      <c r="Z7" s="59" t="n">
        <f aca="false">Assumptions!$F$159</f>
        <v>3550</v>
      </c>
      <c r="AA7" s="59" t="n">
        <f aca="false">Assumptions!$F$160</f>
        <v>3650</v>
      </c>
      <c r="AB7" s="24" t="n">
        <f aca="false">SUM(D7:O7)</f>
        <v>11770</v>
      </c>
      <c r="AC7" s="24" t="n">
        <f aca="false">SUM(P7:AA7)</f>
        <v>36400</v>
      </c>
    </row>
    <row r="8" customFormat="false" ht="15" hidden="false" customHeight="false" outlineLevel="0" collapsed="false">
      <c r="A8" s="3" t="s">
        <v>453</v>
      </c>
      <c r="B8" s="3" t="s">
        <v>454</v>
      </c>
      <c r="D8" s="35" t="n">
        <f aca="false">Assumptions!$F$10</f>
        <v>42</v>
      </c>
      <c r="E8" s="35" t="n">
        <f aca="false">Assumptions!$F$10</f>
        <v>42</v>
      </c>
      <c r="F8" s="35" t="n">
        <f aca="false">Assumptions!$F$10</f>
        <v>42</v>
      </c>
      <c r="G8" s="35" t="n">
        <f aca="false">Assumptions!$F$10</f>
        <v>42</v>
      </c>
      <c r="H8" s="35" t="n">
        <f aca="false">Assumptions!$F$10</f>
        <v>42</v>
      </c>
      <c r="I8" s="35" t="n">
        <f aca="false">Assumptions!$F$10</f>
        <v>42</v>
      </c>
      <c r="J8" s="35" t="n">
        <f aca="false">Assumptions!$F$10</f>
        <v>42</v>
      </c>
      <c r="K8" s="35" t="n">
        <f aca="false">Assumptions!$F$10</f>
        <v>42</v>
      </c>
      <c r="L8" s="35" t="n">
        <f aca="false">Assumptions!$F$10</f>
        <v>42</v>
      </c>
      <c r="M8" s="35" t="n">
        <f aca="false">Assumptions!$F$10</f>
        <v>42</v>
      </c>
      <c r="N8" s="35" t="n">
        <f aca="false">Assumptions!$F$10</f>
        <v>42</v>
      </c>
      <c r="O8" s="35" t="n">
        <f aca="false">Assumptions!$F$10</f>
        <v>42</v>
      </c>
      <c r="P8" s="35" t="n">
        <f aca="false">Assumptions!$F$10</f>
        <v>42</v>
      </c>
      <c r="Q8" s="35" t="n">
        <f aca="false">Assumptions!$F$10</f>
        <v>42</v>
      </c>
      <c r="R8" s="35" t="n">
        <f aca="false">Assumptions!$F$10</f>
        <v>42</v>
      </c>
      <c r="S8" s="35" t="n">
        <f aca="false">Assumptions!$F$10</f>
        <v>42</v>
      </c>
      <c r="T8" s="35" t="n">
        <f aca="false">Assumptions!$F$10</f>
        <v>42</v>
      </c>
      <c r="U8" s="35" t="n">
        <f aca="false">Assumptions!$F$10</f>
        <v>42</v>
      </c>
      <c r="V8" s="35" t="n">
        <f aca="false">Assumptions!$F$10</f>
        <v>42</v>
      </c>
      <c r="W8" s="35" t="n">
        <f aca="false">Assumptions!$F$10</f>
        <v>42</v>
      </c>
      <c r="X8" s="35" t="n">
        <f aca="false">Assumptions!$F$10</f>
        <v>42</v>
      </c>
      <c r="Y8" s="35" t="n">
        <f aca="false">Assumptions!$F$10</f>
        <v>42</v>
      </c>
      <c r="Z8" s="35" t="n">
        <f aca="false">Assumptions!$F$10</f>
        <v>42</v>
      </c>
      <c r="AA8" s="35" t="n">
        <f aca="false">Assumptions!$F$10</f>
        <v>42</v>
      </c>
      <c r="AB8" s="40" t="n">
        <f aca="false">IF(AB7=0,0,AB9/AB7)</f>
        <v>42</v>
      </c>
      <c r="AC8" s="40" t="n">
        <f aca="false">IF(AC7=0,0,AC9/AC7)</f>
        <v>42</v>
      </c>
    </row>
    <row r="9" customFormat="false" ht="15" hidden="false" customHeight="false" outlineLevel="0" collapsed="false">
      <c r="A9" s="9" t="s">
        <v>455</v>
      </c>
      <c r="B9" s="3" t="s">
        <v>62</v>
      </c>
      <c r="D9" s="29" t="n">
        <f aca="false">D7*D8</f>
        <v>6300</v>
      </c>
      <c r="E9" s="29" t="n">
        <f aca="false">E7*E8</f>
        <v>10080</v>
      </c>
      <c r="F9" s="29" t="n">
        <f aca="false">F7*F8</f>
        <v>15120</v>
      </c>
      <c r="G9" s="29" t="n">
        <f aca="false">G7*G8</f>
        <v>21000</v>
      </c>
      <c r="H9" s="29" t="n">
        <f aca="false">H7*H8</f>
        <v>27300</v>
      </c>
      <c r="I9" s="29" t="n">
        <f aca="false">I7*I8</f>
        <v>34440</v>
      </c>
      <c r="J9" s="29" t="n">
        <f aca="false">J7*J8</f>
        <v>42000</v>
      </c>
      <c r="K9" s="29" t="n">
        <f aca="false">K7*K8</f>
        <v>50400</v>
      </c>
      <c r="L9" s="29" t="n">
        <f aca="false">L7*L8</f>
        <v>58800</v>
      </c>
      <c r="M9" s="29" t="n">
        <f aca="false">M7*M8</f>
        <v>67200</v>
      </c>
      <c r="N9" s="29" t="n">
        <f aca="false">N7*N8</f>
        <v>75600</v>
      </c>
      <c r="O9" s="29" t="n">
        <f aca="false">O7*O8</f>
        <v>86100</v>
      </c>
      <c r="P9" s="29" t="n">
        <f aca="false">P7*P8</f>
        <v>94500</v>
      </c>
      <c r="Q9" s="29" t="n">
        <f aca="false">Q7*Q8</f>
        <v>102900</v>
      </c>
      <c r="R9" s="29" t="n">
        <f aca="false">R7*R8</f>
        <v>109200</v>
      </c>
      <c r="S9" s="29" t="n">
        <f aca="false">S7*S8</f>
        <v>115500</v>
      </c>
      <c r="T9" s="29" t="n">
        <f aca="false">T7*T8</f>
        <v>121800</v>
      </c>
      <c r="U9" s="29" t="n">
        <f aca="false">U7*U8</f>
        <v>128100</v>
      </c>
      <c r="V9" s="29" t="n">
        <f aca="false">V7*V8</f>
        <v>132300</v>
      </c>
      <c r="W9" s="29" t="n">
        <f aca="false">W7*W8</f>
        <v>136500</v>
      </c>
      <c r="X9" s="29" t="n">
        <f aca="false">X7*X8</f>
        <v>140700</v>
      </c>
      <c r="Y9" s="29" t="n">
        <f aca="false">Y7*Y8</f>
        <v>144900</v>
      </c>
      <c r="Z9" s="29" t="n">
        <f aca="false">Z7*Z8</f>
        <v>149100</v>
      </c>
      <c r="AA9" s="29" t="n">
        <f aca="false">AA7*AA8</f>
        <v>153300</v>
      </c>
      <c r="AB9" s="29" t="n">
        <f aca="false">SUM(D9:O9)</f>
        <v>494340</v>
      </c>
      <c r="AC9" s="29" t="n">
        <f aca="false">SUM(P9:AA9)</f>
        <v>1528800</v>
      </c>
    </row>
    <row r="10" customFormat="false" ht="15" hidden="false" customHeight="false" outlineLevel="0" collapsed="false">
      <c r="A10" s="3" t="s">
        <v>456</v>
      </c>
      <c r="B10" s="3" t="s">
        <v>62</v>
      </c>
      <c r="D10" s="38" t="n">
        <f aca="false">D9*D30</f>
        <v>2394</v>
      </c>
      <c r="E10" s="38" t="n">
        <f aca="false">E9*E30</f>
        <v>3830.4</v>
      </c>
      <c r="F10" s="38" t="n">
        <f aca="false">F9*F30</f>
        <v>5745.6</v>
      </c>
      <c r="G10" s="38" t="n">
        <f aca="false">G9*G30</f>
        <v>7980</v>
      </c>
      <c r="H10" s="38" t="n">
        <f aca="false">H9*H30</f>
        <v>10374</v>
      </c>
      <c r="I10" s="38" t="n">
        <f aca="false">I9*I30</f>
        <v>13087.2</v>
      </c>
      <c r="J10" s="38" t="n">
        <f aca="false">J9*J30</f>
        <v>15960</v>
      </c>
      <c r="K10" s="38" t="n">
        <f aca="false">K9*K30</f>
        <v>19152</v>
      </c>
      <c r="L10" s="38" t="n">
        <f aca="false">L9*L30</f>
        <v>22344</v>
      </c>
      <c r="M10" s="38" t="n">
        <f aca="false">M9*M30</f>
        <v>25536</v>
      </c>
      <c r="N10" s="38" t="n">
        <f aca="false">N9*N30</f>
        <v>28728</v>
      </c>
      <c r="O10" s="38" t="n">
        <f aca="false">O9*O30</f>
        <v>32718</v>
      </c>
      <c r="P10" s="38" t="n">
        <f aca="false">P9*P30</f>
        <v>35910</v>
      </c>
      <c r="Q10" s="38" t="n">
        <f aca="false">Q9*Q30</f>
        <v>39102</v>
      </c>
      <c r="R10" s="38" t="n">
        <f aca="false">R9*R30</f>
        <v>41496</v>
      </c>
      <c r="S10" s="38" t="n">
        <f aca="false">S9*S30</f>
        <v>43890</v>
      </c>
      <c r="T10" s="38" t="n">
        <f aca="false">T9*T30</f>
        <v>46284</v>
      </c>
      <c r="U10" s="38" t="n">
        <f aca="false">U9*U30</f>
        <v>48678</v>
      </c>
      <c r="V10" s="38" t="n">
        <f aca="false">V9*V30</f>
        <v>48289.5</v>
      </c>
      <c r="W10" s="38" t="n">
        <f aca="false">W9*W30</f>
        <v>49822.5</v>
      </c>
      <c r="X10" s="38" t="n">
        <f aca="false">X9*X30</f>
        <v>51355.5</v>
      </c>
      <c r="Y10" s="38" t="n">
        <f aca="false">Y9*Y30</f>
        <v>52888.5</v>
      </c>
      <c r="Z10" s="38" t="n">
        <f aca="false">Z9*Z30</f>
        <v>54421.5</v>
      </c>
      <c r="AA10" s="38" t="n">
        <f aca="false">AA9*AA30</f>
        <v>55954.5</v>
      </c>
      <c r="AB10" s="38" t="n">
        <f aca="false">SUM(D10:O10)</f>
        <v>187849.2</v>
      </c>
      <c r="AC10" s="38" t="n">
        <f aca="false">SUM(P10:AA10)</f>
        <v>568092</v>
      </c>
    </row>
    <row r="11" customFormat="false" ht="15" hidden="false" customHeight="false" outlineLevel="0" collapsed="false">
      <c r="A11" s="3" t="s">
        <v>457</v>
      </c>
      <c r="B11" s="3" t="s">
        <v>62</v>
      </c>
      <c r="D11" s="60" t="n">
        <f aca="false">D9*Assumptions!$F$19</f>
        <v>945</v>
      </c>
      <c r="E11" s="60" t="n">
        <f aca="false">E9*Assumptions!$F$19</f>
        <v>1512</v>
      </c>
      <c r="F11" s="60" t="n">
        <f aca="false">F9*Assumptions!$F$19</f>
        <v>2268</v>
      </c>
      <c r="G11" s="60" t="n">
        <f aca="false">G9*Assumptions!$F$19</f>
        <v>3150</v>
      </c>
      <c r="H11" s="60" t="n">
        <f aca="false">H9*Assumptions!$F$19</f>
        <v>4095</v>
      </c>
      <c r="I11" s="60" t="n">
        <f aca="false">I9*Assumptions!$F$19</f>
        <v>5166</v>
      </c>
      <c r="J11" s="60" t="n">
        <f aca="false">J9*Assumptions!$F$19</f>
        <v>6300</v>
      </c>
      <c r="K11" s="60" t="n">
        <f aca="false">K9*Assumptions!$F$19</f>
        <v>7560</v>
      </c>
      <c r="L11" s="60" t="n">
        <f aca="false">L9*Assumptions!$F$19</f>
        <v>8820</v>
      </c>
      <c r="M11" s="60" t="n">
        <f aca="false">M9*Assumptions!$F$19</f>
        <v>10080</v>
      </c>
      <c r="N11" s="60" t="n">
        <f aca="false">N9*Assumptions!$F$19</f>
        <v>11340</v>
      </c>
      <c r="O11" s="60" t="n">
        <f aca="false">O9*Assumptions!$F$19</f>
        <v>12915</v>
      </c>
      <c r="P11" s="60" t="n">
        <f aca="false">P9*Assumptions!$F$19</f>
        <v>14175</v>
      </c>
      <c r="Q11" s="60" t="n">
        <f aca="false">Q9*Assumptions!$F$19</f>
        <v>15435</v>
      </c>
      <c r="R11" s="60" t="n">
        <f aca="false">R9*Assumptions!$F$19</f>
        <v>16380</v>
      </c>
      <c r="S11" s="60" t="n">
        <f aca="false">S9*Assumptions!$F$19</f>
        <v>17325</v>
      </c>
      <c r="T11" s="60" t="n">
        <f aca="false">T9*Assumptions!$F$19</f>
        <v>18270</v>
      </c>
      <c r="U11" s="60" t="n">
        <f aca="false">U9*Assumptions!$F$19</f>
        <v>19215</v>
      </c>
      <c r="V11" s="60" t="n">
        <f aca="false">V9*Assumptions!$F$19</f>
        <v>19845</v>
      </c>
      <c r="W11" s="60" t="n">
        <f aca="false">W9*Assumptions!$F$19</f>
        <v>20475</v>
      </c>
      <c r="X11" s="60" t="n">
        <f aca="false">X9*Assumptions!$F$19</f>
        <v>21105</v>
      </c>
      <c r="Y11" s="60" t="n">
        <f aca="false">Y9*Assumptions!$F$19</f>
        <v>21735</v>
      </c>
      <c r="Z11" s="60" t="n">
        <f aca="false">Z9*Assumptions!$F$19</f>
        <v>22365</v>
      </c>
      <c r="AA11" s="60" t="n">
        <f aca="false">AA9*Assumptions!$F$19</f>
        <v>22995</v>
      </c>
      <c r="AB11" s="38" t="n">
        <f aca="false">SUM(D11:O11)</f>
        <v>74151</v>
      </c>
      <c r="AC11" s="38" t="n">
        <f aca="false">SUM(P11:AA11)</f>
        <v>229320</v>
      </c>
    </row>
    <row r="12" customFormat="false" ht="15" hidden="false" customHeight="false" outlineLevel="0" collapsed="false">
      <c r="A12" s="3" t="s">
        <v>367</v>
      </c>
      <c r="B12" s="3" t="s">
        <v>62</v>
      </c>
      <c r="D12" s="38" t="n">
        <f aca="false">D7*D31</f>
        <v>825</v>
      </c>
      <c r="E12" s="38" t="n">
        <f aca="false">E7*E31</f>
        <v>1320</v>
      </c>
      <c r="F12" s="38" t="n">
        <f aca="false">F7*F31</f>
        <v>1980</v>
      </c>
      <c r="G12" s="38" t="n">
        <f aca="false">G7*G31</f>
        <v>2750</v>
      </c>
      <c r="H12" s="38" t="n">
        <f aca="false">H7*H31</f>
        <v>3575</v>
      </c>
      <c r="I12" s="38" t="n">
        <f aca="false">I7*I31</f>
        <v>4510</v>
      </c>
      <c r="J12" s="38" t="n">
        <f aca="false">J7*J31</f>
        <v>5500</v>
      </c>
      <c r="K12" s="38" t="n">
        <f aca="false">K7*K31</f>
        <v>6600</v>
      </c>
      <c r="L12" s="38" t="n">
        <f aca="false">L7*L31</f>
        <v>7700</v>
      </c>
      <c r="M12" s="38" t="n">
        <f aca="false">M7*M31</f>
        <v>8800</v>
      </c>
      <c r="N12" s="38" t="n">
        <f aca="false">N7*N31</f>
        <v>9900</v>
      </c>
      <c r="O12" s="38" t="n">
        <f aca="false">O7*O31</f>
        <v>11275</v>
      </c>
      <c r="P12" s="38" t="n">
        <f aca="false">P7*P31</f>
        <v>12375</v>
      </c>
      <c r="Q12" s="38" t="n">
        <f aca="false">Q7*Q31</f>
        <v>13475</v>
      </c>
      <c r="R12" s="38" t="n">
        <f aca="false">R7*R31</f>
        <v>14300</v>
      </c>
      <c r="S12" s="38" t="n">
        <f aca="false">S7*S31</f>
        <v>15125</v>
      </c>
      <c r="T12" s="38" t="n">
        <f aca="false">T7*T31</f>
        <v>15950</v>
      </c>
      <c r="U12" s="38" t="n">
        <f aca="false">U7*U31</f>
        <v>16775</v>
      </c>
      <c r="V12" s="38" t="n">
        <f aca="false">V7*V31</f>
        <v>17844.75</v>
      </c>
      <c r="W12" s="38" t="n">
        <f aca="false">W7*W31</f>
        <v>18411.25</v>
      </c>
      <c r="X12" s="38" t="n">
        <f aca="false">X7*X31</f>
        <v>18977.75</v>
      </c>
      <c r="Y12" s="38" t="n">
        <f aca="false">Y7*Y31</f>
        <v>19544.25</v>
      </c>
      <c r="Z12" s="38" t="n">
        <f aca="false">Z7*Z31</f>
        <v>20110.75</v>
      </c>
      <c r="AA12" s="38" t="n">
        <f aca="false">AA7*AA31</f>
        <v>20677.25</v>
      </c>
      <c r="AB12" s="38" t="n">
        <f aca="false">SUM(D12:O12)</f>
        <v>64735</v>
      </c>
      <c r="AC12" s="38" t="n">
        <f aca="false">SUM(P12:AA12)</f>
        <v>203566</v>
      </c>
    </row>
    <row r="13" customFormat="false" ht="15" hidden="false" customHeight="false" outlineLevel="0" collapsed="false">
      <c r="A13" s="3" t="s">
        <v>458</v>
      </c>
      <c r="B13" s="3" t="s">
        <v>62</v>
      </c>
      <c r="D13" s="38" t="n">
        <f aca="false">D9*D32</f>
        <v>189</v>
      </c>
      <c r="E13" s="38" t="n">
        <f aca="false">E9*E32</f>
        <v>302.4</v>
      </c>
      <c r="F13" s="38" t="n">
        <f aca="false">F9*F32</f>
        <v>453.6</v>
      </c>
      <c r="G13" s="38" t="n">
        <f aca="false">G9*G32</f>
        <v>630</v>
      </c>
      <c r="H13" s="38" t="n">
        <f aca="false">H9*H32</f>
        <v>819</v>
      </c>
      <c r="I13" s="38" t="n">
        <f aca="false">I9*I32</f>
        <v>1033.2</v>
      </c>
      <c r="J13" s="38" t="n">
        <f aca="false">J9*J32</f>
        <v>1260</v>
      </c>
      <c r="K13" s="38" t="n">
        <f aca="false">K9*K32</f>
        <v>1512</v>
      </c>
      <c r="L13" s="38" t="n">
        <f aca="false">L9*L32</f>
        <v>1764</v>
      </c>
      <c r="M13" s="38" t="n">
        <f aca="false">M9*M32</f>
        <v>2016</v>
      </c>
      <c r="N13" s="38" t="n">
        <f aca="false">N9*N32</f>
        <v>2268</v>
      </c>
      <c r="O13" s="38" t="n">
        <f aca="false">O9*O32</f>
        <v>2583</v>
      </c>
      <c r="P13" s="38" t="n">
        <f aca="false">P9*P32</f>
        <v>2835</v>
      </c>
      <c r="Q13" s="38" t="n">
        <f aca="false">Q9*Q32</f>
        <v>3087</v>
      </c>
      <c r="R13" s="38" t="n">
        <f aca="false">R9*R32</f>
        <v>3276</v>
      </c>
      <c r="S13" s="38" t="n">
        <f aca="false">S9*S32</f>
        <v>3465</v>
      </c>
      <c r="T13" s="38" t="n">
        <f aca="false">T9*T32</f>
        <v>3654</v>
      </c>
      <c r="U13" s="38" t="n">
        <f aca="false">U9*U32</f>
        <v>3843</v>
      </c>
      <c r="V13" s="38" t="n">
        <f aca="false">V9*V32</f>
        <v>3307.5</v>
      </c>
      <c r="W13" s="38" t="n">
        <f aca="false">W9*W32</f>
        <v>3412.5</v>
      </c>
      <c r="X13" s="38" t="n">
        <f aca="false">X9*X32</f>
        <v>3517.5</v>
      </c>
      <c r="Y13" s="38" t="n">
        <f aca="false">Y9*Y32</f>
        <v>3622.5</v>
      </c>
      <c r="Z13" s="38" t="n">
        <f aca="false">Z9*Z32</f>
        <v>3727.5</v>
      </c>
      <c r="AA13" s="38" t="n">
        <f aca="false">AA9*AA32</f>
        <v>3832.5</v>
      </c>
      <c r="AB13" s="38" t="n">
        <f aca="false">SUM(D13:O13)</f>
        <v>14830.2</v>
      </c>
      <c r="AC13" s="38" t="n">
        <f aca="false">SUM(P13:AA13)</f>
        <v>41580</v>
      </c>
    </row>
    <row r="14" customFormat="false" ht="15" hidden="false" customHeight="false" outlineLevel="0" collapsed="false">
      <c r="A14" s="3" t="s">
        <v>459</v>
      </c>
      <c r="B14" s="3" t="s">
        <v>62</v>
      </c>
      <c r="D14" s="60" t="n">
        <f aca="false">D9*Assumptions!$F$21</f>
        <v>126</v>
      </c>
      <c r="E14" s="60" t="n">
        <f aca="false">E9*Assumptions!$F$21</f>
        <v>201.6</v>
      </c>
      <c r="F14" s="60" t="n">
        <f aca="false">F9*Assumptions!$F$21</f>
        <v>302.4</v>
      </c>
      <c r="G14" s="60" t="n">
        <f aca="false">G9*Assumptions!$F$21</f>
        <v>420</v>
      </c>
      <c r="H14" s="60" t="n">
        <f aca="false">H9*Assumptions!$F$21</f>
        <v>546</v>
      </c>
      <c r="I14" s="60" t="n">
        <f aca="false">I9*Assumptions!$F$21</f>
        <v>688.8</v>
      </c>
      <c r="J14" s="60" t="n">
        <f aca="false">J9*Assumptions!$F$21</f>
        <v>840</v>
      </c>
      <c r="K14" s="60" t="n">
        <f aca="false">K9*Assumptions!$F$21</f>
        <v>1008</v>
      </c>
      <c r="L14" s="60" t="n">
        <f aca="false">L9*Assumptions!$F$21</f>
        <v>1176</v>
      </c>
      <c r="M14" s="60" t="n">
        <f aca="false">M9*Assumptions!$F$21</f>
        <v>1344</v>
      </c>
      <c r="N14" s="60" t="n">
        <f aca="false">N9*Assumptions!$F$21</f>
        <v>1512</v>
      </c>
      <c r="O14" s="60" t="n">
        <f aca="false">O9*Assumptions!$F$21</f>
        <v>1722</v>
      </c>
      <c r="P14" s="60" t="n">
        <f aca="false">P9*Assumptions!$F$21</f>
        <v>1890</v>
      </c>
      <c r="Q14" s="60" t="n">
        <f aca="false">Q9*Assumptions!$F$21</f>
        <v>2058</v>
      </c>
      <c r="R14" s="60" t="n">
        <f aca="false">R9*Assumptions!$F$21</f>
        <v>2184</v>
      </c>
      <c r="S14" s="60" t="n">
        <f aca="false">S9*Assumptions!$F$21</f>
        <v>2310</v>
      </c>
      <c r="T14" s="60" t="n">
        <f aca="false">T9*Assumptions!$F$21</f>
        <v>2436</v>
      </c>
      <c r="U14" s="60" t="n">
        <f aca="false">U9*Assumptions!$F$21</f>
        <v>2562</v>
      </c>
      <c r="V14" s="60" t="n">
        <f aca="false">V9*Assumptions!$F$21</f>
        <v>2646</v>
      </c>
      <c r="W14" s="60" t="n">
        <f aca="false">W9*Assumptions!$F$21</f>
        <v>2730</v>
      </c>
      <c r="X14" s="60" t="n">
        <f aca="false">X9*Assumptions!$F$21</f>
        <v>2814</v>
      </c>
      <c r="Y14" s="60" t="n">
        <f aca="false">Y9*Assumptions!$F$21</f>
        <v>2898</v>
      </c>
      <c r="Z14" s="60" t="n">
        <f aca="false">Z9*Assumptions!$F$21</f>
        <v>2982</v>
      </c>
      <c r="AA14" s="60" t="n">
        <f aca="false">AA9*Assumptions!$F$21</f>
        <v>3066</v>
      </c>
      <c r="AB14" s="38" t="n">
        <f aca="false">SUM(D14:O14)</f>
        <v>9886.8</v>
      </c>
      <c r="AC14" s="38" t="n">
        <f aca="false">SUM(P14:AA14)</f>
        <v>30576</v>
      </c>
    </row>
    <row r="15" customFormat="false" ht="15" hidden="false" customHeight="false" outlineLevel="0" collapsed="false">
      <c r="A15" s="3" t="s">
        <v>369</v>
      </c>
      <c r="B15" s="3" t="s">
        <v>62</v>
      </c>
      <c r="D15" s="38" t="n">
        <f aca="false">D9*D33</f>
        <v>1890</v>
      </c>
      <c r="E15" s="38" t="n">
        <f aca="false">E9*E33</f>
        <v>3024</v>
      </c>
      <c r="F15" s="38" t="n">
        <f aca="false">F9*F33</f>
        <v>4536</v>
      </c>
      <c r="G15" s="38" t="n">
        <f aca="false">G9*G33</f>
        <v>4620</v>
      </c>
      <c r="H15" s="38" t="n">
        <f aca="false">H9*H33</f>
        <v>6006</v>
      </c>
      <c r="I15" s="38" t="n">
        <f aca="false">I9*I33</f>
        <v>7576.8</v>
      </c>
      <c r="J15" s="38" t="n">
        <f aca="false">J9*J33</f>
        <v>6300</v>
      </c>
      <c r="K15" s="38" t="n">
        <f aca="false">K9*K33</f>
        <v>7560</v>
      </c>
      <c r="L15" s="38" t="n">
        <f aca="false">L9*L33</f>
        <v>8820</v>
      </c>
      <c r="M15" s="38" t="n">
        <f aca="false">M9*M33</f>
        <v>10080</v>
      </c>
      <c r="N15" s="38" t="n">
        <f aca="false">N9*N33</f>
        <v>11340</v>
      </c>
      <c r="O15" s="38" t="n">
        <f aca="false">O9*O33</f>
        <v>12915</v>
      </c>
      <c r="P15" s="38" t="n">
        <f aca="false">P9*P33</f>
        <v>10395</v>
      </c>
      <c r="Q15" s="38" t="n">
        <f aca="false">Q9*Q33</f>
        <v>11319</v>
      </c>
      <c r="R15" s="38" t="n">
        <f aca="false">R9*R33</f>
        <v>12012</v>
      </c>
      <c r="S15" s="38" t="n">
        <f aca="false">S9*S33</f>
        <v>12705</v>
      </c>
      <c r="T15" s="38" t="n">
        <f aca="false">T9*T33</f>
        <v>13398</v>
      </c>
      <c r="U15" s="38" t="n">
        <f aca="false">U9*U33</f>
        <v>14091</v>
      </c>
      <c r="V15" s="38" t="n">
        <f aca="false">V9*V33</f>
        <v>14553</v>
      </c>
      <c r="W15" s="38" t="n">
        <f aca="false">W9*W33</f>
        <v>15015</v>
      </c>
      <c r="X15" s="38" t="n">
        <f aca="false">X9*X33</f>
        <v>15477</v>
      </c>
      <c r="Y15" s="38" t="n">
        <f aca="false">Y9*Y33</f>
        <v>15939</v>
      </c>
      <c r="Z15" s="38" t="n">
        <f aca="false">Z9*Z33</f>
        <v>16401</v>
      </c>
      <c r="AA15" s="38" t="n">
        <f aca="false">AA9*AA33</f>
        <v>16863</v>
      </c>
      <c r="AB15" s="38" t="n">
        <f aca="false">SUM(D15:O15)</f>
        <v>84667.8</v>
      </c>
      <c r="AC15" s="38" t="n">
        <f aca="false">SUM(P15:AA15)</f>
        <v>168168</v>
      </c>
    </row>
    <row r="16" customFormat="false" ht="15" hidden="false" customHeight="false" outlineLevel="0" collapsed="false">
      <c r="A16" s="9" t="s">
        <v>460</v>
      </c>
      <c r="B16" s="3" t="s">
        <v>62</v>
      </c>
      <c r="D16" s="29" t="n">
        <f aca="false">D9-D10-D11-D12-D13-D14-D15</f>
        <v>-69</v>
      </c>
      <c r="E16" s="29" t="n">
        <f aca="false">E9-E10-E11-E12-E13-E14-E15</f>
        <v>-110.4</v>
      </c>
      <c r="F16" s="29" t="n">
        <f aca="false">F9-F10-F11-F12-F13-F14-F15</f>
        <v>-165.6</v>
      </c>
      <c r="G16" s="29" t="n">
        <f aca="false">G9-G10-G11-G12-G13-G14-G15</f>
        <v>1450</v>
      </c>
      <c r="H16" s="29" t="n">
        <f aca="false">H9-H10-H11-H12-H13-H14-H15</f>
        <v>1885</v>
      </c>
      <c r="I16" s="29" t="n">
        <f aca="false">I9-I10-I11-I12-I13-I14-I15</f>
        <v>2378</v>
      </c>
      <c r="J16" s="29" t="n">
        <f aca="false">J9-J10-J11-J12-J13-J14-J15</f>
        <v>5840</v>
      </c>
      <c r="K16" s="29" t="n">
        <f aca="false">K9-K10-K11-K12-K13-K14-K15</f>
        <v>7008</v>
      </c>
      <c r="L16" s="29" t="n">
        <f aca="false">L9-L10-L11-L12-L13-L14-L15</f>
        <v>8176</v>
      </c>
      <c r="M16" s="29" t="n">
        <f aca="false">M9-M10-M11-M12-M13-M14-M15</f>
        <v>9344</v>
      </c>
      <c r="N16" s="29" t="n">
        <f aca="false">N9-N10-N11-N12-N13-N14-N15</f>
        <v>10512</v>
      </c>
      <c r="O16" s="29" t="n">
        <f aca="false">O9-O10-O11-O12-O13-O14-O15</f>
        <v>11972</v>
      </c>
      <c r="P16" s="29" t="n">
        <f aca="false">P9-P10-P11-P12-P13-P14-P15</f>
        <v>16920</v>
      </c>
      <c r="Q16" s="29" t="n">
        <f aca="false">Q9-Q10-Q11-Q12-Q13-Q14-Q15</f>
        <v>18424</v>
      </c>
      <c r="R16" s="29" t="n">
        <f aca="false">R9-R10-R11-R12-R13-R14-R15</f>
        <v>19552</v>
      </c>
      <c r="S16" s="29" t="n">
        <f aca="false">S9-S10-S11-S12-S13-S14-S15</f>
        <v>20680</v>
      </c>
      <c r="T16" s="29" t="n">
        <f aca="false">T9-T10-T11-T12-T13-T14-T15</f>
        <v>21808</v>
      </c>
      <c r="U16" s="29" t="n">
        <f aca="false">U9-U10-U11-U12-U13-U14-U15</f>
        <v>22936</v>
      </c>
      <c r="V16" s="29" t="n">
        <f aca="false">V9-V10-V11-V12-V13-V14-V15</f>
        <v>25814.25</v>
      </c>
      <c r="W16" s="29" t="n">
        <f aca="false">W9-W10-W11-W12-W13-W14-W15</f>
        <v>26633.75</v>
      </c>
      <c r="X16" s="29" t="n">
        <f aca="false">X9-X10-X11-X12-X13-X14-X15</f>
        <v>27453.25</v>
      </c>
      <c r="Y16" s="29" t="n">
        <f aca="false">Y9-Y10-Y11-Y12-Y13-Y14-Y15</f>
        <v>28272.75</v>
      </c>
      <c r="Z16" s="29" t="n">
        <f aca="false">Z9-Z10-Z11-Z12-Z13-Z14-Z15</f>
        <v>29092.25</v>
      </c>
      <c r="AA16" s="29" t="n">
        <f aca="false">AA9-AA10-AA11-AA12-AA13-AA14-AA15</f>
        <v>29911.75</v>
      </c>
      <c r="AB16" s="29" t="n">
        <f aca="false">SUM(D16:O16)</f>
        <v>58220</v>
      </c>
      <c r="AC16" s="29" t="n">
        <f aca="false">SUM(P16:AA16)</f>
        <v>287498</v>
      </c>
    </row>
    <row r="17" customFormat="false" ht="15" hidden="false" customHeight="false" outlineLevel="0" collapsed="false">
      <c r="A17" s="3" t="s">
        <v>461</v>
      </c>
      <c r="B17" s="3" t="s">
        <v>62</v>
      </c>
      <c r="D17" s="60" t="n">
        <f aca="false">IF(D$5&gt;=Assumptions!$F$26,Assumptions!$F$45,Assumptions!$F$17)</f>
        <v>850</v>
      </c>
      <c r="E17" s="60" t="n">
        <f aca="false">IF(E$5&gt;=Assumptions!$F$26,Assumptions!$F$45,Assumptions!$F$17)</f>
        <v>850</v>
      </c>
      <c r="F17" s="60" t="n">
        <f aca="false">IF(F$5&gt;=Assumptions!$F$26,Assumptions!$F$45,Assumptions!$F$17)</f>
        <v>850</v>
      </c>
      <c r="G17" s="60" t="n">
        <f aca="false">IF(G$5&gt;=Assumptions!$F$26,Assumptions!$F$45,Assumptions!$F$17)</f>
        <v>850</v>
      </c>
      <c r="H17" s="60" t="n">
        <f aca="false">IF(H$5&gt;=Assumptions!$F$26,Assumptions!$F$45,Assumptions!$F$17)</f>
        <v>850</v>
      </c>
      <c r="I17" s="60" t="n">
        <f aca="false">IF(I$5&gt;=Assumptions!$F$26,Assumptions!$F$45,Assumptions!$F$17)</f>
        <v>850</v>
      </c>
      <c r="J17" s="60" t="n">
        <f aca="false">IF(J$5&gt;=Assumptions!$F$26,Assumptions!$F$45,Assumptions!$F$17)</f>
        <v>850</v>
      </c>
      <c r="K17" s="60" t="n">
        <f aca="false">IF(K$5&gt;=Assumptions!$F$26,Assumptions!$F$45,Assumptions!$F$17)</f>
        <v>850</v>
      </c>
      <c r="L17" s="60" t="n">
        <f aca="false">IF(L$5&gt;=Assumptions!$F$26,Assumptions!$F$45,Assumptions!$F$17)</f>
        <v>850</v>
      </c>
      <c r="M17" s="60" t="n">
        <f aca="false">IF(M$5&gt;=Assumptions!$F$26,Assumptions!$F$45,Assumptions!$F$17)</f>
        <v>850</v>
      </c>
      <c r="N17" s="60" t="n">
        <f aca="false">IF(N$5&gt;=Assumptions!$F$26,Assumptions!$F$45,Assumptions!$F$17)</f>
        <v>850</v>
      </c>
      <c r="O17" s="60" t="n">
        <f aca="false">IF(O$5&gt;=Assumptions!$F$26,Assumptions!$F$45,Assumptions!$F$17)</f>
        <v>850</v>
      </c>
      <c r="P17" s="60" t="n">
        <f aca="false">IF(P$5&gt;=Assumptions!$F$26,Assumptions!$F$45,Assumptions!$F$17)</f>
        <v>850</v>
      </c>
      <c r="Q17" s="60" t="n">
        <f aca="false">IF(Q$5&gt;=Assumptions!$F$26,Assumptions!$F$45,Assumptions!$F$17)</f>
        <v>850</v>
      </c>
      <c r="R17" s="60" t="n">
        <f aca="false">IF(R$5&gt;=Assumptions!$F$26,Assumptions!$F$45,Assumptions!$F$17)</f>
        <v>850</v>
      </c>
      <c r="S17" s="60" t="n">
        <f aca="false">IF(S$5&gt;=Assumptions!$F$26,Assumptions!$F$45,Assumptions!$F$17)</f>
        <v>850</v>
      </c>
      <c r="T17" s="60" t="n">
        <f aca="false">IF(T$5&gt;=Assumptions!$F$26,Assumptions!$F$45,Assumptions!$F$17)</f>
        <v>850</v>
      </c>
      <c r="U17" s="60" t="n">
        <f aca="false">IF(U$5&gt;=Assumptions!$F$26,Assumptions!$F$45,Assumptions!$F$17)</f>
        <v>850</v>
      </c>
      <c r="V17" s="60" t="n">
        <f aca="false">IF(V$5&gt;=Assumptions!$F$26,Assumptions!$F$45,Assumptions!$F$17)</f>
        <v>1500</v>
      </c>
      <c r="W17" s="60" t="n">
        <f aca="false">IF(W$5&gt;=Assumptions!$F$26,Assumptions!$F$45,Assumptions!$F$17)</f>
        <v>1500</v>
      </c>
      <c r="X17" s="60" t="n">
        <f aca="false">IF(X$5&gt;=Assumptions!$F$26,Assumptions!$F$45,Assumptions!$F$17)</f>
        <v>1500</v>
      </c>
      <c r="Y17" s="60" t="n">
        <f aca="false">IF(Y$5&gt;=Assumptions!$F$26,Assumptions!$F$45,Assumptions!$F$17)</f>
        <v>1500</v>
      </c>
      <c r="Z17" s="60" t="n">
        <f aca="false">IF(Z$5&gt;=Assumptions!$F$26,Assumptions!$F$45,Assumptions!$F$17)</f>
        <v>1500</v>
      </c>
      <c r="AA17" s="60" t="n">
        <f aca="false">IF(AA$5&gt;=Assumptions!$F$26,Assumptions!$F$45,Assumptions!$F$17)</f>
        <v>1500</v>
      </c>
      <c r="AB17" s="38" t="n">
        <f aca="false">SUM(D17:O17)</f>
        <v>10200</v>
      </c>
      <c r="AC17" s="38" t="n">
        <f aca="false">SUM(P17:AA17)</f>
        <v>14100</v>
      </c>
    </row>
    <row r="18" customFormat="false" ht="15" hidden="false" customHeight="false" outlineLevel="0" collapsed="false">
      <c r="A18" s="3" t="s">
        <v>462</v>
      </c>
      <c r="B18" s="3" t="s">
        <v>62</v>
      </c>
      <c r="D18" s="60" t="n">
        <f aca="false">Assumptions!$F$22</f>
        <v>39.99</v>
      </c>
      <c r="E18" s="60" t="n">
        <f aca="false">Assumptions!$F$22</f>
        <v>39.99</v>
      </c>
      <c r="F18" s="60" t="n">
        <f aca="false">Assumptions!$F$22</f>
        <v>39.99</v>
      </c>
      <c r="G18" s="60" t="n">
        <f aca="false">Assumptions!$F$22</f>
        <v>39.99</v>
      </c>
      <c r="H18" s="60" t="n">
        <f aca="false">Assumptions!$F$22</f>
        <v>39.99</v>
      </c>
      <c r="I18" s="60" t="n">
        <f aca="false">Assumptions!$F$22</f>
        <v>39.99</v>
      </c>
      <c r="J18" s="60" t="n">
        <f aca="false">Assumptions!$F$22</f>
        <v>39.99</v>
      </c>
      <c r="K18" s="60" t="n">
        <f aca="false">Assumptions!$F$22</f>
        <v>39.99</v>
      </c>
      <c r="L18" s="60" t="n">
        <f aca="false">Assumptions!$F$22</f>
        <v>39.99</v>
      </c>
      <c r="M18" s="60" t="n">
        <f aca="false">Assumptions!$F$22</f>
        <v>39.99</v>
      </c>
      <c r="N18" s="60" t="n">
        <f aca="false">Assumptions!$F$22</f>
        <v>39.99</v>
      </c>
      <c r="O18" s="60" t="n">
        <f aca="false">Assumptions!$F$22</f>
        <v>39.99</v>
      </c>
      <c r="P18" s="60" t="n">
        <f aca="false">Assumptions!$F$22</f>
        <v>39.99</v>
      </c>
      <c r="Q18" s="60" t="n">
        <f aca="false">Assumptions!$F$22</f>
        <v>39.99</v>
      </c>
      <c r="R18" s="60" t="n">
        <f aca="false">Assumptions!$F$22</f>
        <v>39.99</v>
      </c>
      <c r="S18" s="60" t="n">
        <f aca="false">Assumptions!$F$22</f>
        <v>39.99</v>
      </c>
      <c r="T18" s="60" t="n">
        <f aca="false">Assumptions!$F$22</f>
        <v>39.99</v>
      </c>
      <c r="U18" s="60" t="n">
        <f aca="false">Assumptions!$F$22</f>
        <v>39.99</v>
      </c>
      <c r="V18" s="60" t="n">
        <f aca="false">Assumptions!$F$22</f>
        <v>39.99</v>
      </c>
      <c r="W18" s="60" t="n">
        <f aca="false">Assumptions!$F$22</f>
        <v>39.99</v>
      </c>
      <c r="X18" s="60" t="n">
        <f aca="false">Assumptions!$F$22</f>
        <v>39.99</v>
      </c>
      <c r="Y18" s="60" t="n">
        <f aca="false">Assumptions!$F$22</f>
        <v>39.99</v>
      </c>
      <c r="Z18" s="60" t="n">
        <f aca="false">Assumptions!$F$22</f>
        <v>39.99</v>
      </c>
      <c r="AA18" s="60" t="n">
        <f aca="false">Assumptions!$F$22</f>
        <v>39.99</v>
      </c>
      <c r="AB18" s="38" t="n">
        <f aca="false">SUM(D18:O18)</f>
        <v>479.88</v>
      </c>
      <c r="AC18" s="38" t="n">
        <f aca="false">SUM(P18:AA18)</f>
        <v>479.88</v>
      </c>
    </row>
    <row r="19" customFormat="false" ht="15" hidden="false" customHeight="false" outlineLevel="0" collapsed="false">
      <c r="A19" s="3" t="s">
        <v>463</v>
      </c>
      <c r="B19" s="3" t="s">
        <v>62</v>
      </c>
      <c r="D19" s="60" t="n">
        <f aca="false">IF(D$5=1,Assumptions!$F$23,0)</f>
        <v>9500</v>
      </c>
      <c r="E19" s="60" t="n">
        <f aca="false">IF(E$5=1,Assumptions!$F$23,0)</f>
        <v>0</v>
      </c>
      <c r="F19" s="60" t="n">
        <f aca="false">IF(F$5=1,Assumptions!$F$23,0)</f>
        <v>0</v>
      </c>
      <c r="G19" s="60" t="n">
        <f aca="false">IF(G$5=1,Assumptions!$F$23,0)</f>
        <v>0</v>
      </c>
      <c r="H19" s="60" t="n">
        <f aca="false">IF(H$5=1,Assumptions!$F$23,0)</f>
        <v>0</v>
      </c>
      <c r="I19" s="60" t="n">
        <f aca="false">IF(I$5=1,Assumptions!$F$23,0)</f>
        <v>0</v>
      </c>
      <c r="J19" s="60" t="n">
        <f aca="false">IF(J$5=1,Assumptions!$F$23,0)</f>
        <v>0</v>
      </c>
      <c r="K19" s="60" t="n">
        <f aca="false">IF(K$5=1,Assumptions!$F$23,0)</f>
        <v>0</v>
      </c>
      <c r="L19" s="60" t="n">
        <f aca="false">IF(L$5=1,Assumptions!$F$23,0)</f>
        <v>0</v>
      </c>
      <c r="M19" s="60" t="n">
        <f aca="false">IF(M$5=1,Assumptions!$F$23,0)</f>
        <v>0</v>
      </c>
      <c r="N19" s="60" t="n">
        <f aca="false">IF(N$5=1,Assumptions!$F$23,0)</f>
        <v>0</v>
      </c>
      <c r="O19" s="60" t="n">
        <f aca="false">IF(O$5=1,Assumptions!$F$23,0)</f>
        <v>0</v>
      </c>
      <c r="P19" s="60" t="n">
        <f aca="false">IF(P$5=1,Assumptions!$F$23,0)</f>
        <v>0</v>
      </c>
      <c r="Q19" s="60" t="n">
        <f aca="false">IF(Q$5=1,Assumptions!$F$23,0)</f>
        <v>0</v>
      </c>
      <c r="R19" s="60" t="n">
        <f aca="false">IF(R$5=1,Assumptions!$F$23,0)</f>
        <v>0</v>
      </c>
      <c r="S19" s="60" t="n">
        <f aca="false">IF(S$5=1,Assumptions!$F$23,0)</f>
        <v>0</v>
      </c>
      <c r="T19" s="60" t="n">
        <f aca="false">IF(T$5=1,Assumptions!$F$23,0)</f>
        <v>0</v>
      </c>
      <c r="U19" s="60" t="n">
        <f aca="false">IF(U$5=1,Assumptions!$F$23,0)</f>
        <v>0</v>
      </c>
      <c r="V19" s="60" t="n">
        <f aca="false">IF(V$5=1,Assumptions!$F$23,0)</f>
        <v>0</v>
      </c>
      <c r="W19" s="60" t="n">
        <f aca="false">IF(W$5=1,Assumptions!$F$23,0)</f>
        <v>0</v>
      </c>
      <c r="X19" s="60" t="n">
        <f aca="false">IF(X$5=1,Assumptions!$F$23,0)</f>
        <v>0</v>
      </c>
      <c r="Y19" s="60" t="n">
        <f aca="false">IF(Y$5=1,Assumptions!$F$23,0)</f>
        <v>0</v>
      </c>
      <c r="Z19" s="60" t="n">
        <f aca="false">IF(Z$5=1,Assumptions!$F$23,0)</f>
        <v>0</v>
      </c>
      <c r="AA19" s="60" t="n">
        <f aca="false">IF(AA$5=1,Assumptions!$F$23,0)</f>
        <v>0</v>
      </c>
      <c r="AB19" s="38" t="n">
        <f aca="false">SUM(D19:O19)</f>
        <v>9500</v>
      </c>
      <c r="AC19" s="38" t="n">
        <f aca="false">SUM(P19:AA19)</f>
        <v>0</v>
      </c>
    </row>
    <row r="20" customFormat="false" ht="15" hidden="false" customHeight="false" outlineLevel="0" collapsed="false">
      <c r="A20" s="3" t="s">
        <v>464</v>
      </c>
      <c r="B20" s="3" t="s">
        <v>62</v>
      </c>
      <c r="D20" s="60" t="n">
        <f aca="false">IF(D$5&gt;=Assumptions!$F$26,(Assumptions!$F$94+Assumptions!$F$95+Assumptions!$F$96+Assumptions!$F$97)/(24-Assumptions!$F$26+1),0)</f>
        <v>0</v>
      </c>
      <c r="E20" s="60" t="n">
        <f aca="false">IF(E$5&gt;=Assumptions!$F$26,(Assumptions!$F$94+Assumptions!$F$95+Assumptions!$F$96+Assumptions!$F$97)/(24-Assumptions!$F$26+1),0)</f>
        <v>0</v>
      </c>
      <c r="F20" s="60" t="n">
        <f aca="false">IF(F$5&gt;=Assumptions!$F$26,(Assumptions!$F$94+Assumptions!$F$95+Assumptions!$F$96+Assumptions!$F$97)/(24-Assumptions!$F$26+1),0)</f>
        <v>0</v>
      </c>
      <c r="G20" s="60" t="n">
        <f aca="false">IF(G$5&gt;=Assumptions!$F$26,(Assumptions!$F$94+Assumptions!$F$95+Assumptions!$F$96+Assumptions!$F$97)/(24-Assumptions!$F$26+1),0)</f>
        <v>0</v>
      </c>
      <c r="H20" s="60" t="n">
        <f aca="false">IF(H$5&gt;=Assumptions!$F$26,(Assumptions!$F$94+Assumptions!$F$95+Assumptions!$F$96+Assumptions!$F$97)/(24-Assumptions!$F$26+1),0)</f>
        <v>0</v>
      </c>
      <c r="I20" s="60" t="n">
        <f aca="false">IF(I$5&gt;=Assumptions!$F$26,(Assumptions!$F$94+Assumptions!$F$95+Assumptions!$F$96+Assumptions!$F$97)/(24-Assumptions!$F$26+1),0)</f>
        <v>0</v>
      </c>
      <c r="J20" s="60" t="n">
        <f aca="false">IF(J$5&gt;=Assumptions!$F$26,(Assumptions!$F$94+Assumptions!$F$95+Assumptions!$F$96+Assumptions!$F$97)/(24-Assumptions!$F$26+1),0)</f>
        <v>0</v>
      </c>
      <c r="K20" s="60" t="n">
        <f aca="false">IF(K$5&gt;=Assumptions!$F$26,(Assumptions!$F$94+Assumptions!$F$95+Assumptions!$F$96+Assumptions!$F$97)/(24-Assumptions!$F$26+1),0)</f>
        <v>0</v>
      </c>
      <c r="L20" s="60" t="n">
        <f aca="false">IF(L$5&gt;=Assumptions!$F$26,(Assumptions!$F$94+Assumptions!$F$95+Assumptions!$F$96+Assumptions!$F$97)/(24-Assumptions!$F$26+1),0)</f>
        <v>0</v>
      </c>
      <c r="M20" s="60" t="n">
        <f aca="false">IF(M$5&gt;=Assumptions!$F$26,(Assumptions!$F$94+Assumptions!$F$95+Assumptions!$F$96+Assumptions!$F$97)/(24-Assumptions!$F$26+1),0)</f>
        <v>0</v>
      </c>
      <c r="N20" s="60" t="n">
        <f aca="false">IF(N$5&gt;=Assumptions!$F$26,(Assumptions!$F$94+Assumptions!$F$95+Assumptions!$F$96+Assumptions!$F$97)/(24-Assumptions!$F$26+1),0)</f>
        <v>0</v>
      </c>
      <c r="O20" s="60" t="n">
        <f aca="false">IF(O$5&gt;=Assumptions!$F$26,(Assumptions!$F$94+Assumptions!$F$95+Assumptions!$F$96+Assumptions!$F$97)/(24-Assumptions!$F$26+1),0)</f>
        <v>0</v>
      </c>
      <c r="P20" s="60" t="n">
        <f aca="false">IF(P$5&gt;=Assumptions!$F$26,(Assumptions!$F$94+Assumptions!$F$95+Assumptions!$F$96+Assumptions!$F$97)/(24-Assumptions!$F$26+1),0)</f>
        <v>0</v>
      </c>
      <c r="Q20" s="60" t="n">
        <f aca="false">IF(Q$5&gt;=Assumptions!$F$26,(Assumptions!$F$94+Assumptions!$F$95+Assumptions!$F$96+Assumptions!$F$97)/(24-Assumptions!$F$26+1),0)</f>
        <v>0</v>
      </c>
      <c r="R20" s="60" t="n">
        <f aca="false">IF(R$5&gt;=Assumptions!$F$26,(Assumptions!$F$94+Assumptions!$F$95+Assumptions!$F$96+Assumptions!$F$97)/(24-Assumptions!$F$26+1),0)</f>
        <v>0</v>
      </c>
      <c r="S20" s="60" t="n">
        <f aca="false">IF(S$5&gt;=Assumptions!$F$26,(Assumptions!$F$94+Assumptions!$F$95+Assumptions!$F$96+Assumptions!$F$97)/(24-Assumptions!$F$26+1),0)</f>
        <v>0</v>
      </c>
      <c r="T20" s="60" t="n">
        <f aca="false">IF(T$5&gt;=Assumptions!$F$26,(Assumptions!$F$94+Assumptions!$F$95+Assumptions!$F$96+Assumptions!$F$97)/(24-Assumptions!$F$26+1),0)</f>
        <v>0</v>
      </c>
      <c r="U20" s="60" t="n">
        <f aca="false">IF(U$5&gt;=Assumptions!$F$26,(Assumptions!$F$94+Assumptions!$F$95+Assumptions!$F$96+Assumptions!$F$97)/(24-Assumptions!$F$26+1),0)</f>
        <v>0</v>
      </c>
      <c r="V20" s="60" t="n">
        <f aca="false">IF(V$5&gt;=Assumptions!$F$26,(Assumptions!$F$94+Assumptions!$F$95+Assumptions!$F$96+Assumptions!$F$97)/(24-Assumptions!$F$26+1),0)</f>
        <v>426.666666666667</v>
      </c>
      <c r="W20" s="60" t="n">
        <f aca="false">IF(W$5&gt;=Assumptions!$F$26,(Assumptions!$F$94+Assumptions!$F$95+Assumptions!$F$96+Assumptions!$F$97)/(24-Assumptions!$F$26+1),0)</f>
        <v>426.666666666667</v>
      </c>
      <c r="X20" s="60" t="n">
        <f aca="false">IF(X$5&gt;=Assumptions!$F$26,(Assumptions!$F$94+Assumptions!$F$95+Assumptions!$F$96+Assumptions!$F$97)/(24-Assumptions!$F$26+1),0)</f>
        <v>426.666666666667</v>
      </c>
      <c r="Y20" s="60" t="n">
        <f aca="false">IF(Y$5&gt;=Assumptions!$F$26,(Assumptions!$F$94+Assumptions!$F$95+Assumptions!$F$96+Assumptions!$F$97)/(24-Assumptions!$F$26+1),0)</f>
        <v>426.666666666667</v>
      </c>
      <c r="Z20" s="60" t="n">
        <f aca="false">IF(Z$5&gt;=Assumptions!$F$26,(Assumptions!$F$94+Assumptions!$F$95+Assumptions!$F$96+Assumptions!$F$97)/(24-Assumptions!$F$26+1),0)</f>
        <v>426.666666666667</v>
      </c>
      <c r="AA20" s="60" t="n">
        <f aca="false">IF(AA$5&gt;=Assumptions!$F$26,(Assumptions!$F$94+Assumptions!$F$95+Assumptions!$F$96+Assumptions!$F$97)/(24-Assumptions!$F$26+1),0)</f>
        <v>426.666666666667</v>
      </c>
      <c r="AB20" s="38" t="n">
        <f aca="false">SUM(D20:O20)</f>
        <v>0</v>
      </c>
      <c r="AC20" s="38" t="n">
        <f aca="false">SUM(P20:AA20)</f>
        <v>2560</v>
      </c>
    </row>
    <row r="21" customFormat="false" ht="15" hidden="false" customHeight="false" outlineLevel="0" collapsed="false">
      <c r="A21" s="9" t="s">
        <v>465</v>
      </c>
      <c r="B21" s="3" t="s">
        <v>62</v>
      </c>
      <c r="D21" s="29" t="n">
        <f aca="false">D16-D17-D18-D19-D20</f>
        <v>-10458.99</v>
      </c>
      <c r="E21" s="29" t="n">
        <f aca="false">E16-E17-E18-E19-E20</f>
        <v>-1000.39</v>
      </c>
      <c r="F21" s="29" t="n">
        <f aca="false">F16-F17-F18-F19-F20</f>
        <v>-1055.59</v>
      </c>
      <c r="G21" s="29" t="n">
        <f aca="false">G16-G17-G18-G19-G20</f>
        <v>560.01</v>
      </c>
      <c r="H21" s="29" t="n">
        <f aca="false">H16-H17-H18-H19-H20</f>
        <v>995.01</v>
      </c>
      <c r="I21" s="29" t="n">
        <f aca="false">I16-I17-I18-I19-I20</f>
        <v>1488.01</v>
      </c>
      <c r="J21" s="29" t="n">
        <f aca="false">J16-J17-J18-J19-J20</f>
        <v>4950.01</v>
      </c>
      <c r="K21" s="29" t="n">
        <f aca="false">K16-K17-K18-K19-K20</f>
        <v>6118.01</v>
      </c>
      <c r="L21" s="29" t="n">
        <f aca="false">L16-L17-L18-L19-L20</f>
        <v>7286.01</v>
      </c>
      <c r="M21" s="29" t="n">
        <f aca="false">M16-M17-M18-M19-M20</f>
        <v>8454.01</v>
      </c>
      <c r="N21" s="29" t="n">
        <f aca="false">N16-N17-N18-N19-N20</f>
        <v>9622.01</v>
      </c>
      <c r="O21" s="29" t="n">
        <f aca="false">O16-O17-O18-O19-O20</f>
        <v>11082.01</v>
      </c>
      <c r="P21" s="29" t="n">
        <f aca="false">P16-P17-P18-P19-P20</f>
        <v>16030.01</v>
      </c>
      <c r="Q21" s="29" t="n">
        <f aca="false">Q16-Q17-Q18-Q19-Q20</f>
        <v>17534.01</v>
      </c>
      <c r="R21" s="29" t="n">
        <f aca="false">R16-R17-R18-R19-R20</f>
        <v>18662.01</v>
      </c>
      <c r="S21" s="29" t="n">
        <f aca="false">S16-S17-S18-S19-S20</f>
        <v>19790.01</v>
      </c>
      <c r="T21" s="29" t="n">
        <f aca="false">T16-T17-T18-T19-T20</f>
        <v>20918.01</v>
      </c>
      <c r="U21" s="29" t="n">
        <f aca="false">U16-U17-U18-U19-U20</f>
        <v>22046.01</v>
      </c>
      <c r="V21" s="29" t="n">
        <f aca="false">V16-V17-V18-V19-V20</f>
        <v>23847.5933333333</v>
      </c>
      <c r="W21" s="29" t="n">
        <f aca="false">W16-W17-W18-W19-W20</f>
        <v>24667.0933333333</v>
      </c>
      <c r="X21" s="29" t="n">
        <f aca="false">X16-X17-X18-X19-X20</f>
        <v>25486.5933333333</v>
      </c>
      <c r="Y21" s="29" t="n">
        <f aca="false">Y16-Y17-Y18-Y19-Y20</f>
        <v>26306.0933333333</v>
      </c>
      <c r="Z21" s="29" t="n">
        <f aca="false">Z16-Z17-Z18-Z19-Z20</f>
        <v>27125.5933333333</v>
      </c>
      <c r="AA21" s="29" t="n">
        <f aca="false">AA16-AA17-AA18-AA19-AA20</f>
        <v>27945.0933333333</v>
      </c>
      <c r="AB21" s="29" t="n">
        <f aca="false">SUM(D21:O21)</f>
        <v>38040.12</v>
      </c>
      <c r="AC21" s="29" t="n">
        <f aca="false">SUM(P21:AA21)</f>
        <v>270358.12</v>
      </c>
    </row>
    <row r="22" customFormat="false" ht="15" hidden="false" customHeight="false" outlineLevel="0" collapsed="false">
      <c r="A22" s="3" t="s">
        <v>466</v>
      </c>
      <c r="B22" s="3" t="s">
        <v>62</v>
      </c>
      <c r="D22" s="38" t="n">
        <f aca="false">D21</f>
        <v>-10458.99</v>
      </c>
      <c r="E22" s="38" t="n">
        <f aca="false">D22+E21</f>
        <v>-11459.38</v>
      </c>
      <c r="F22" s="38" t="n">
        <f aca="false">E22+F21</f>
        <v>-12514.97</v>
      </c>
      <c r="G22" s="38" t="n">
        <f aca="false">F22+G21</f>
        <v>-11954.96</v>
      </c>
      <c r="H22" s="38" t="n">
        <f aca="false">G22+H21</f>
        <v>-10959.95</v>
      </c>
      <c r="I22" s="38" t="n">
        <f aca="false">H22+I21</f>
        <v>-9471.94</v>
      </c>
      <c r="J22" s="38" t="n">
        <f aca="false">I22+J21</f>
        <v>-4521.93</v>
      </c>
      <c r="K22" s="38" t="n">
        <f aca="false">J22+K21</f>
        <v>1596.08</v>
      </c>
      <c r="L22" s="38" t="n">
        <f aca="false">K22+L21</f>
        <v>8882.09</v>
      </c>
      <c r="M22" s="38" t="n">
        <f aca="false">L22+M21</f>
        <v>17336.1</v>
      </c>
      <c r="N22" s="38" t="n">
        <f aca="false">M22+N21</f>
        <v>26958.11</v>
      </c>
      <c r="O22" s="38" t="n">
        <f aca="false">N22+O21</f>
        <v>38040.12</v>
      </c>
      <c r="P22" s="38" t="n">
        <f aca="false">O22+P21</f>
        <v>54070.13</v>
      </c>
      <c r="Q22" s="38" t="n">
        <f aca="false">P22+Q21</f>
        <v>71604.14</v>
      </c>
      <c r="R22" s="38" t="n">
        <f aca="false">Q22+R21</f>
        <v>90266.15</v>
      </c>
      <c r="S22" s="38" t="n">
        <f aca="false">R22+S21</f>
        <v>110056.16</v>
      </c>
      <c r="T22" s="38" t="n">
        <f aca="false">S22+T21</f>
        <v>130974.17</v>
      </c>
      <c r="U22" s="38" t="n">
        <f aca="false">T22+U21</f>
        <v>153020.18</v>
      </c>
      <c r="V22" s="38" t="n">
        <f aca="false">U22+V21</f>
        <v>176867.773333333</v>
      </c>
      <c r="W22" s="38" t="n">
        <f aca="false">V22+W21</f>
        <v>201534.866666667</v>
      </c>
      <c r="X22" s="38" t="n">
        <f aca="false">W22+X21</f>
        <v>227021.46</v>
      </c>
      <c r="Y22" s="38" t="n">
        <f aca="false">X22+Y21</f>
        <v>253327.553333333</v>
      </c>
      <c r="Z22" s="38" t="n">
        <f aca="false">Y22+Z21</f>
        <v>280453.146666667</v>
      </c>
      <c r="AA22" s="38" t="n">
        <f aca="false">Z22+AA21</f>
        <v>308398.24</v>
      </c>
      <c r="AB22" s="38" t="n">
        <f aca="false">O22</f>
        <v>38040.12</v>
      </c>
      <c r="AC22" s="38" t="n">
        <f aca="false">AA22</f>
        <v>308398.24</v>
      </c>
    </row>
    <row r="23" customFormat="false" ht="15" hidden="false" customHeight="false" outlineLevel="0" collapsed="false">
      <c r="A23" s="3" t="s">
        <v>467</v>
      </c>
      <c r="B23" s="3" t="s">
        <v>66</v>
      </c>
      <c r="D23" s="34" t="n">
        <f aca="false">IF(D9=0,0,D21/D9)</f>
        <v>-1.66015714285714</v>
      </c>
      <c r="E23" s="34" t="n">
        <f aca="false">IF(E9=0,0,E21/E9)</f>
        <v>-0.0992450396825396</v>
      </c>
      <c r="F23" s="34" t="n">
        <f aca="false">IF(F9=0,0,F21/F9)</f>
        <v>-0.0698141534391535</v>
      </c>
      <c r="G23" s="34" t="n">
        <f aca="false">IF(G9=0,0,G21/G9)</f>
        <v>0.0266671428571429</v>
      </c>
      <c r="H23" s="34" t="n">
        <f aca="false">IF(H9=0,0,H21/H9)</f>
        <v>0.0364472527472527</v>
      </c>
      <c r="I23" s="34" t="n">
        <f aca="false">IF(I9=0,0,I21/I9)</f>
        <v>0.0432058652729384</v>
      </c>
      <c r="J23" s="34" t="n">
        <f aca="false">IF(J9=0,0,J21/J9)</f>
        <v>0.117857380952381</v>
      </c>
      <c r="K23" s="34" t="n">
        <f aca="false">IF(K9=0,0,K21/K9)</f>
        <v>0.121389087301587</v>
      </c>
      <c r="L23" s="34" t="n">
        <f aca="false">IF(L9=0,0,L21/L9)</f>
        <v>0.123911734693878</v>
      </c>
      <c r="M23" s="34" t="n">
        <f aca="false">IF(M9=0,0,M21/M9)</f>
        <v>0.125803720238095</v>
      </c>
      <c r="N23" s="34" t="n">
        <f aca="false">IF(N9=0,0,N21/N9)</f>
        <v>0.127275264550265</v>
      </c>
      <c r="O23" s="34" t="n">
        <f aca="false">IF(O9=0,0,O21/O9)</f>
        <v>0.128710917537747</v>
      </c>
      <c r="P23" s="34" t="n">
        <f aca="false">IF(P9=0,0,P21/P9)</f>
        <v>0.169629735449735</v>
      </c>
      <c r="Q23" s="34" t="n">
        <f aca="false">IF(Q9=0,0,Q21/Q9)</f>
        <v>0.170398542274052</v>
      </c>
      <c r="R23" s="34" t="n">
        <f aca="false">IF(R9=0,0,R21/R9)</f>
        <v>0.170897527472527</v>
      </c>
      <c r="S23" s="34" t="n">
        <f aca="false">IF(S9=0,0,S21/S9)</f>
        <v>0.171342077922078</v>
      </c>
      <c r="T23" s="34" t="n">
        <f aca="false">IF(T9=0,0,T21/T9)</f>
        <v>0.171740640394089</v>
      </c>
      <c r="U23" s="34" t="n">
        <f aca="false">IF(U9=0,0,U21/U9)</f>
        <v>0.1721</v>
      </c>
      <c r="V23" s="34" t="n">
        <f aca="false">IF(V9=0,0,V21/V9)</f>
        <v>0.180253917863442</v>
      </c>
      <c r="W23" s="34" t="n">
        <f aca="false">IF(W9=0,0,W21/W9)</f>
        <v>0.180711306471306</v>
      </c>
      <c r="X23" s="34" t="n">
        <f aca="false">IF(X9=0,0,X21/X9)</f>
        <v>0.181141388296612</v>
      </c>
      <c r="Y23" s="34" t="n">
        <f aca="false">IF(Y9=0,0,Y21/Y9)</f>
        <v>0.18154653784219</v>
      </c>
      <c r="Z23" s="34" t="n">
        <f aca="false">IF(Z9=0,0,Z21/Z9)</f>
        <v>0.181928862061256</v>
      </c>
      <c r="AA23" s="34" t="n">
        <f aca="false">IF(AA9=0,0,AA21/AA9)</f>
        <v>0.182290237008045</v>
      </c>
      <c r="AB23" s="34" t="n">
        <f aca="false">IF(AB9=0,0,AB21/AB9)</f>
        <v>0.076951329044787</v>
      </c>
      <c r="AC23" s="34" t="n">
        <f aca="false">IF(AC9=0,0,AC21/AC9)</f>
        <v>0.176843354264783</v>
      </c>
    </row>
    <row r="24" customFormat="false" ht="15" hidden="false" customHeight="false" outlineLevel="0" collapsed="false">
      <c r="A24" s="3" t="s">
        <v>468</v>
      </c>
      <c r="B24" s="3" t="s">
        <v>66</v>
      </c>
      <c r="D24" s="34" t="n">
        <f aca="false">IF(D9=0,0,D15/D9)</f>
        <v>0.3</v>
      </c>
      <c r="E24" s="34" t="n">
        <f aca="false">IF(E9=0,0,E15/E9)</f>
        <v>0.3</v>
      </c>
      <c r="F24" s="34" t="n">
        <f aca="false">IF(F9=0,0,F15/F9)</f>
        <v>0.3</v>
      </c>
      <c r="G24" s="34" t="n">
        <f aca="false">IF(G9=0,0,G15/G9)</f>
        <v>0.22</v>
      </c>
      <c r="H24" s="34" t="n">
        <f aca="false">IF(H9=0,0,H15/H9)</f>
        <v>0.22</v>
      </c>
      <c r="I24" s="34" t="n">
        <f aca="false">IF(I9=0,0,I15/I9)</f>
        <v>0.22</v>
      </c>
      <c r="J24" s="34" t="n">
        <f aca="false">IF(J9=0,0,J15/J9)</f>
        <v>0.15</v>
      </c>
      <c r="K24" s="34" t="n">
        <f aca="false">IF(K9=0,0,K15/K9)</f>
        <v>0.15</v>
      </c>
      <c r="L24" s="34" t="n">
        <f aca="false">IF(L9=0,0,L15/L9)</f>
        <v>0.15</v>
      </c>
      <c r="M24" s="34" t="n">
        <f aca="false">IF(M9=0,0,M15/M9)</f>
        <v>0.15</v>
      </c>
      <c r="N24" s="34" t="n">
        <f aca="false">IF(N9=0,0,N15/N9)</f>
        <v>0.15</v>
      </c>
      <c r="O24" s="34" t="n">
        <f aca="false">IF(O9=0,0,O15/O9)</f>
        <v>0.15</v>
      </c>
      <c r="P24" s="34" t="n">
        <f aca="false">IF(P9=0,0,P15/P9)</f>
        <v>0.11</v>
      </c>
      <c r="Q24" s="34" t="n">
        <f aca="false">IF(Q9=0,0,Q15/Q9)</f>
        <v>0.11</v>
      </c>
      <c r="R24" s="34" t="n">
        <f aca="false">IF(R9=0,0,R15/R9)</f>
        <v>0.11</v>
      </c>
      <c r="S24" s="34" t="n">
        <f aca="false">IF(S9=0,0,S15/S9)</f>
        <v>0.11</v>
      </c>
      <c r="T24" s="34" t="n">
        <f aca="false">IF(T9=0,0,T15/T9)</f>
        <v>0.11</v>
      </c>
      <c r="U24" s="34" t="n">
        <f aca="false">IF(U9=0,0,U15/U9)</f>
        <v>0.11</v>
      </c>
      <c r="V24" s="34" t="n">
        <f aca="false">IF(V9=0,0,V15/V9)</f>
        <v>0.11</v>
      </c>
      <c r="W24" s="34" t="n">
        <f aca="false">IF(W9=0,0,W15/W9)</f>
        <v>0.11</v>
      </c>
      <c r="X24" s="34" t="n">
        <f aca="false">IF(X9=0,0,X15/X9)</f>
        <v>0.11</v>
      </c>
      <c r="Y24" s="34" t="n">
        <f aca="false">IF(Y9=0,0,Y15/Y9)</f>
        <v>0.11</v>
      </c>
      <c r="Z24" s="34" t="n">
        <f aca="false">IF(Z9=0,0,Z15/Z9)</f>
        <v>0.11</v>
      </c>
      <c r="AA24" s="34" t="n">
        <f aca="false">IF(AA9=0,0,AA15/AA9)</f>
        <v>0.11</v>
      </c>
      <c r="AB24" s="34" t="n">
        <f aca="false">IF(AB9=0,0,AB15/AB9)</f>
        <v>0.171274426508071</v>
      </c>
      <c r="AC24" s="34" t="n">
        <f aca="false">IF(AC9=0,0,AC15/AC9)</f>
        <v>0.11</v>
      </c>
    </row>
    <row r="25" customFormat="false" ht="15" hidden="false" customHeight="false" outlineLevel="0" collapsed="false">
      <c r="A25" s="3" t="s">
        <v>375</v>
      </c>
      <c r="B25" s="3" t="s">
        <v>454</v>
      </c>
      <c r="D25" s="40" t="n">
        <f aca="false">IF(D7=0,0,(D16+D15)/D7)</f>
        <v>12.14</v>
      </c>
      <c r="E25" s="40" t="n">
        <f aca="false">IF(E7=0,0,(E16+E15)/E7)</f>
        <v>12.14</v>
      </c>
      <c r="F25" s="40" t="n">
        <f aca="false">IF(F7=0,0,(F16+F15)/F7)</f>
        <v>12.14</v>
      </c>
      <c r="G25" s="40" t="n">
        <f aca="false">IF(G7=0,0,(G16+G15)/G7)</f>
        <v>12.14</v>
      </c>
      <c r="H25" s="40" t="n">
        <f aca="false">IF(H7=0,0,(H16+H15)/H7)</f>
        <v>12.14</v>
      </c>
      <c r="I25" s="40" t="n">
        <f aca="false">IF(I7=0,0,(I16+I15)/I7)</f>
        <v>12.14</v>
      </c>
      <c r="J25" s="40" t="n">
        <f aca="false">IF(J7=0,0,(J16+J15)/J7)</f>
        <v>12.14</v>
      </c>
      <c r="K25" s="40" t="n">
        <f aca="false">IF(K7=0,0,(K16+K15)/K7)</f>
        <v>12.14</v>
      </c>
      <c r="L25" s="40" t="n">
        <f aca="false">IF(L7=0,0,(L16+L15)/L7)</f>
        <v>12.14</v>
      </c>
      <c r="M25" s="40" t="n">
        <f aca="false">IF(M7=0,0,(M16+M15)/M7)</f>
        <v>12.14</v>
      </c>
      <c r="N25" s="40" t="n">
        <f aca="false">IF(N7=0,0,(N16+N15)/N7)</f>
        <v>12.14</v>
      </c>
      <c r="O25" s="40" t="n">
        <f aca="false">IF(O7=0,0,(O16+O15)/O7)</f>
        <v>12.14</v>
      </c>
      <c r="P25" s="40" t="n">
        <f aca="false">IF(P7=0,0,(P16+P15)/P7)</f>
        <v>12.14</v>
      </c>
      <c r="Q25" s="40" t="n">
        <f aca="false">IF(Q7=0,0,(Q16+Q15)/Q7)</f>
        <v>12.14</v>
      </c>
      <c r="R25" s="40" t="n">
        <f aca="false">IF(R7=0,0,(R16+R15)/R7)</f>
        <v>12.14</v>
      </c>
      <c r="S25" s="40" t="n">
        <f aca="false">IF(S7=0,0,(S16+S15)/S7)</f>
        <v>12.14</v>
      </c>
      <c r="T25" s="40" t="n">
        <f aca="false">IF(T7=0,0,(T16+T15)/T7)</f>
        <v>12.14</v>
      </c>
      <c r="U25" s="40" t="n">
        <f aca="false">IF(U7=0,0,(U16+U15)/U7)</f>
        <v>12.14</v>
      </c>
      <c r="V25" s="40" t="n">
        <f aca="false">IF(V7=0,0,(V16+V15)/V7)</f>
        <v>12.815</v>
      </c>
      <c r="W25" s="40" t="n">
        <f aca="false">IF(W7=0,0,(W16+W15)/W7)</f>
        <v>12.815</v>
      </c>
      <c r="X25" s="40" t="n">
        <f aca="false">IF(X7=0,0,(X16+X15)/X7)</f>
        <v>12.815</v>
      </c>
      <c r="Y25" s="40" t="n">
        <f aca="false">IF(Y7=0,0,(Y16+Y15)/Y7)</f>
        <v>12.815</v>
      </c>
      <c r="Z25" s="40" t="n">
        <f aca="false">IF(Z7=0,0,(Z16+Z15)/Z7)</f>
        <v>12.815</v>
      </c>
      <c r="AA25" s="40" t="n">
        <f aca="false">IF(AA7=0,0,(AA16+AA15)/AA7)</f>
        <v>12.815</v>
      </c>
      <c r="AB25" s="40" t="n">
        <f aca="false">IF(AB7=0,0,(AB16+AB15)/AB7)</f>
        <v>12.14</v>
      </c>
      <c r="AC25" s="40" t="n">
        <f aca="false">IF(AC7=0,0,(AC16+AC15)/AC7)</f>
        <v>12.5182967032967</v>
      </c>
    </row>
    <row r="26" customFormat="false" ht="15" hidden="false" customHeight="false" outlineLevel="0" collapsed="false">
      <c r="A26" s="3" t="s">
        <v>469</v>
      </c>
      <c r="B26" s="3" t="s">
        <v>454</v>
      </c>
      <c r="D26" s="40" t="n">
        <f aca="false">IF(D7=0,0,D16/D7)</f>
        <v>-0.46</v>
      </c>
      <c r="E26" s="40" t="n">
        <f aca="false">IF(E7=0,0,E16/E7)</f>
        <v>-0.459999999999998</v>
      </c>
      <c r="F26" s="40" t="n">
        <f aca="false">IF(F7=0,0,F16/F7)</f>
        <v>-0.460000000000001</v>
      </c>
      <c r="G26" s="40" t="n">
        <f aca="false">IF(G7=0,0,G16/G7)</f>
        <v>2.9</v>
      </c>
      <c r="H26" s="40" t="n">
        <f aca="false">IF(H7=0,0,H16/H7)</f>
        <v>2.9</v>
      </c>
      <c r="I26" s="40" t="n">
        <f aca="false">IF(I7=0,0,I16/I7)</f>
        <v>2.9</v>
      </c>
      <c r="J26" s="40" t="n">
        <f aca="false">IF(J7=0,0,J16/J7)</f>
        <v>5.84</v>
      </c>
      <c r="K26" s="40" t="n">
        <f aca="false">IF(K7=0,0,K16/K7)</f>
        <v>5.84</v>
      </c>
      <c r="L26" s="40" t="n">
        <f aca="false">IF(L7=0,0,L16/L7)</f>
        <v>5.84</v>
      </c>
      <c r="M26" s="40" t="n">
        <f aca="false">IF(M7=0,0,M16/M7)</f>
        <v>5.84</v>
      </c>
      <c r="N26" s="40" t="n">
        <f aca="false">IF(N7=0,0,N16/N7)</f>
        <v>5.84</v>
      </c>
      <c r="O26" s="40" t="n">
        <f aca="false">IF(O7=0,0,O16/O7)</f>
        <v>5.84</v>
      </c>
      <c r="P26" s="40" t="n">
        <f aca="false">IF(P7=0,0,P16/P7)</f>
        <v>7.52</v>
      </c>
      <c r="Q26" s="40" t="n">
        <f aca="false">IF(Q7=0,0,Q16/Q7)</f>
        <v>7.52</v>
      </c>
      <c r="R26" s="40" t="n">
        <f aca="false">IF(R7=0,0,R16/R7)</f>
        <v>7.52</v>
      </c>
      <c r="S26" s="40" t="n">
        <f aca="false">IF(S7=0,0,S16/S7)</f>
        <v>7.52</v>
      </c>
      <c r="T26" s="40" t="n">
        <f aca="false">IF(T7=0,0,T16/T7)</f>
        <v>7.52</v>
      </c>
      <c r="U26" s="40" t="n">
        <f aca="false">IF(U7=0,0,U16/U7)</f>
        <v>7.52</v>
      </c>
      <c r="V26" s="40" t="n">
        <f aca="false">IF(V7=0,0,V16/V7)</f>
        <v>8.195</v>
      </c>
      <c r="W26" s="40" t="n">
        <f aca="false">IF(W7=0,0,W16/W7)</f>
        <v>8.195</v>
      </c>
      <c r="X26" s="40" t="n">
        <f aca="false">IF(X7=0,0,X16/X7)</f>
        <v>8.195</v>
      </c>
      <c r="Y26" s="40" t="n">
        <f aca="false">IF(Y7=0,0,Y16/Y7)</f>
        <v>8.195</v>
      </c>
      <c r="Z26" s="40" t="n">
        <f aca="false">IF(Z7=0,0,Z16/Z7)</f>
        <v>8.195</v>
      </c>
      <c r="AA26" s="40" t="n">
        <f aca="false">IF(AA7=0,0,AA16/AA7)</f>
        <v>8.195</v>
      </c>
      <c r="AB26" s="40" t="n">
        <f aca="false">IF(AB7=0,0,AB16/AB7)</f>
        <v>4.946474086661</v>
      </c>
      <c r="AC26" s="40" t="n">
        <f aca="false">IF(AC7=0,0,AC16/AC7)</f>
        <v>7.8982967032967</v>
      </c>
    </row>
    <row r="27" customFormat="false" ht="15" hidden="false" customHeight="false" outlineLevel="0" collapsed="false">
      <c r="A27" s="3" t="s">
        <v>470</v>
      </c>
      <c r="B27" s="3" t="s">
        <v>471</v>
      </c>
      <c r="D27" s="30" t="n">
        <f aca="false">IF(D22&gt;=0,1,0)</f>
        <v>0</v>
      </c>
      <c r="E27" s="30" t="n">
        <f aca="false">IF(E22&gt;=0,1,0)</f>
        <v>0</v>
      </c>
      <c r="F27" s="30" t="n">
        <f aca="false">IF(F22&gt;=0,1,0)</f>
        <v>0</v>
      </c>
      <c r="G27" s="30" t="n">
        <f aca="false">IF(G22&gt;=0,1,0)</f>
        <v>0</v>
      </c>
      <c r="H27" s="30" t="n">
        <f aca="false">IF(H22&gt;=0,1,0)</f>
        <v>0</v>
      </c>
      <c r="I27" s="30" t="n">
        <f aca="false">IF(I22&gt;=0,1,0)</f>
        <v>0</v>
      </c>
      <c r="J27" s="30" t="n">
        <f aca="false">IF(J22&gt;=0,1,0)</f>
        <v>0</v>
      </c>
      <c r="K27" s="30" t="n">
        <f aca="false">IF(K22&gt;=0,1,0)</f>
        <v>1</v>
      </c>
      <c r="L27" s="30" t="n">
        <f aca="false">IF(L22&gt;=0,1,0)</f>
        <v>1</v>
      </c>
      <c r="M27" s="30" t="n">
        <f aca="false">IF(M22&gt;=0,1,0)</f>
        <v>1</v>
      </c>
      <c r="N27" s="30" t="n">
        <f aca="false">IF(N22&gt;=0,1,0)</f>
        <v>1</v>
      </c>
      <c r="O27" s="30" t="n">
        <f aca="false">IF(O22&gt;=0,1,0)</f>
        <v>1</v>
      </c>
      <c r="P27" s="30" t="n">
        <f aca="false">IF(P22&gt;=0,1,0)</f>
        <v>1</v>
      </c>
      <c r="Q27" s="30" t="n">
        <f aca="false">IF(Q22&gt;=0,1,0)</f>
        <v>1</v>
      </c>
      <c r="R27" s="30" t="n">
        <f aca="false">IF(R22&gt;=0,1,0)</f>
        <v>1</v>
      </c>
      <c r="S27" s="30" t="n">
        <f aca="false">IF(S22&gt;=0,1,0)</f>
        <v>1</v>
      </c>
      <c r="T27" s="30" t="n">
        <f aca="false">IF(T22&gt;=0,1,0)</f>
        <v>1</v>
      </c>
      <c r="U27" s="30" t="n">
        <f aca="false">IF(U22&gt;=0,1,0)</f>
        <v>1</v>
      </c>
      <c r="V27" s="30" t="n">
        <f aca="false">IF(V22&gt;=0,1,0)</f>
        <v>1</v>
      </c>
      <c r="W27" s="30" t="n">
        <f aca="false">IF(W22&gt;=0,1,0)</f>
        <v>1</v>
      </c>
      <c r="X27" s="30" t="n">
        <f aca="false">IF(X22&gt;=0,1,0)</f>
        <v>1</v>
      </c>
      <c r="Y27" s="30" t="n">
        <f aca="false">IF(Y22&gt;=0,1,0)</f>
        <v>1</v>
      </c>
      <c r="Z27" s="30" t="n">
        <f aca="false">IF(Z22&gt;=0,1,0)</f>
        <v>1</v>
      </c>
      <c r="AA27" s="30" t="n">
        <f aca="false">IF(AA22&gt;=0,1,0)</f>
        <v>1</v>
      </c>
    </row>
    <row r="29" customFormat="false" ht="15" hidden="false" customHeight="false" outlineLevel="0" collapsed="false">
      <c r="A29" s="9" t="s">
        <v>472</v>
      </c>
    </row>
    <row r="30" customFormat="false" ht="15" hidden="false" customHeight="false" outlineLevel="0" collapsed="false">
      <c r="A30" s="3" t="s">
        <v>473</v>
      </c>
      <c r="B30" s="3" t="s">
        <v>66</v>
      </c>
      <c r="D30" s="54" t="n">
        <f aca="false">IF(D$5&gt;=Assumptions!$F$26,LandedPctActive+Assumptions!$F$33,LandedPctActive)</f>
        <v>0.38</v>
      </c>
      <c r="E30" s="54" t="n">
        <f aca="false">IF(E$5&gt;=Assumptions!$F$26,LandedPctActive+Assumptions!$F$33,LandedPctActive)</f>
        <v>0.38</v>
      </c>
      <c r="F30" s="54" t="n">
        <f aca="false">IF(F$5&gt;=Assumptions!$F$26,LandedPctActive+Assumptions!$F$33,LandedPctActive)</f>
        <v>0.38</v>
      </c>
      <c r="G30" s="54" t="n">
        <f aca="false">IF(G$5&gt;=Assumptions!$F$26,LandedPctActive+Assumptions!$F$33,LandedPctActive)</f>
        <v>0.38</v>
      </c>
      <c r="H30" s="54" t="n">
        <f aca="false">IF(H$5&gt;=Assumptions!$F$26,LandedPctActive+Assumptions!$F$33,LandedPctActive)</f>
        <v>0.38</v>
      </c>
      <c r="I30" s="54" t="n">
        <f aca="false">IF(I$5&gt;=Assumptions!$F$26,LandedPctActive+Assumptions!$F$33,LandedPctActive)</f>
        <v>0.38</v>
      </c>
      <c r="J30" s="54" t="n">
        <f aca="false">IF(J$5&gt;=Assumptions!$F$26,LandedPctActive+Assumptions!$F$33,LandedPctActive)</f>
        <v>0.38</v>
      </c>
      <c r="K30" s="54" t="n">
        <f aca="false">IF(K$5&gt;=Assumptions!$F$26,LandedPctActive+Assumptions!$F$33,LandedPctActive)</f>
        <v>0.38</v>
      </c>
      <c r="L30" s="54" t="n">
        <f aca="false">IF(L$5&gt;=Assumptions!$F$26,LandedPctActive+Assumptions!$F$33,LandedPctActive)</f>
        <v>0.38</v>
      </c>
      <c r="M30" s="54" t="n">
        <f aca="false">IF(M$5&gt;=Assumptions!$F$26,LandedPctActive+Assumptions!$F$33,LandedPctActive)</f>
        <v>0.38</v>
      </c>
      <c r="N30" s="54" t="n">
        <f aca="false">IF(N$5&gt;=Assumptions!$F$26,LandedPctActive+Assumptions!$F$33,LandedPctActive)</f>
        <v>0.38</v>
      </c>
      <c r="O30" s="54" t="n">
        <f aca="false">IF(O$5&gt;=Assumptions!$F$26,LandedPctActive+Assumptions!$F$33,LandedPctActive)</f>
        <v>0.38</v>
      </c>
      <c r="P30" s="54" t="n">
        <f aca="false">IF(P$5&gt;=Assumptions!$F$26,LandedPctActive+Assumptions!$F$33,LandedPctActive)</f>
        <v>0.38</v>
      </c>
      <c r="Q30" s="54" t="n">
        <f aca="false">IF(Q$5&gt;=Assumptions!$F$26,LandedPctActive+Assumptions!$F$33,LandedPctActive)</f>
        <v>0.38</v>
      </c>
      <c r="R30" s="54" t="n">
        <f aca="false">IF(R$5&gt;=Assumptions!$F$26,LandedPctActive+Assumptions!$F$33,LandedPctActive)</f>
        <v>0.38</v>
      </c>
      <c r="S30" s="54" t="n">
        <f aca="false">IF(S$5&gt;=Assumptions!$F$26,LandedPctActive+Assumptions!$F$33,LandedPctActive)</f>
        <v>0.38</v>
      </c>
      <c r="T30" s="54" t="n">
        <f aca="false">IF(T$5&gt;=Assumptions!$F$26,LandedPctActive+Assumptions!$F$33,LandedPctActive)</f>
        <v>0.38</v>
      </c>
      <c r="U30" s="54" t="n">
        <f aca="false">IF(U$5&gt;=Assumptions!$F$26,LandedPctActive+Assumptions!$F$33,LandedPctActive)</f>
        <v>0.38</v>
      </c>
      <c r="V30" s="54" t="n">
        <f aca="false">IF(V$5&gt;=Assumptions!$F$26,LandedPctActive+Assumptions!$F$33,LandedPctActive)</f>
        <v>0.365</v>
      </c>
      <c r="W30" s="54" t="n">
        <f aca="false">IF(W$5&gt;=Assumptions!$F$26,LandedPctActive+Assumptions!$F$33,LandedPctActive)</f>
        <v>0.365</v>
      </c>
      <c r="X30" s="54" t="n">
        <f aca="false">IF(X$5&gt;=Assumptions!$F$26,LandedPctActive+Assumptions!$F$33,LandedPctActive)</f>
        <v>0.365</v>
      </c>
      <c r="Y30" s="54" t="n">
        <f aca="false">IF(Y$5&gt;=Assumptions!$F$26,LandedPctActive+Assumptions!$F$33,LandedPctActive)</f>
        <v>0.365</v>
      </c>
      <c r="Z30" s="54" t="n">
        <f aca="false">IF(Z$5&gt;=Assumptions!$F$26,LandedPctActive+Assumptions!$F$33,LandedPctActive)</f>
        <v>0.365</v>
      </c>
      <c r="AA30" s="54" t="n">
        <f aca="false">IF(AA$5&gt;=Assumptions!$F$26,LandedPctActive+Assumptions!$F$33,LandedPctActive)</f>
        <v>0.365</v>
      </c>
      <c r="AB30" s="34" t="n">
        <f aca="false">IF(AB9=0,0,AB10/AB9)</f>
        <v>0.38</v>
      </c>
      <c r="AC30" s="34" t="n">
        <f aca="false">IF(AC9=0,0,AC10/AC9)</f>
        <v>0.371593406593407</v>
      </c>
    </row>
    <row r="31" customFormat="false" ht="15" hidden="false" customHeight="false" outlineLevel="0" collapsed="false">
      <c r="A31" s="3" t="s">
        <v>474</v>
      </c>
      <c r="B31" s="3" t="s">
        <v>454</v>
      </c>
      <c r="D31" s="35" t="n">
        <f aca="false">Assumptions!$F$20*IF(D$5&gt;=Assumptions!$F$26,1+Assumptions!$F$32,1)</f>
        <v>5.5</v>
      </c>
      <c r="E31" s="35" t="n">
        <f aca="false">Assumptions!$F$20*IF(E$5&gt;=Assumptions!$F$26,1+Assumptions!$F$32,1)</f>
        <v>5.5</v>
      </c>
      <c r="F31" s="35" t="n">
        <f aca="false">Assumptions!$F$20*IF(F$5&gt;=Assumptions!$F$26,1+Assumptions!$F$32,1)</f>
        <v>5.5</v>
      </c>
      <c r="G31" s="35" t="n">
        <f aca="false">Assumptions!$F$20*IF(G$5&gt;=Assumptions!$F$26,1+Assumptions!$F$32,1)</f>
        <v>5.5</v>
      </c>
      <c r="H31" s="35" t="n">
        <f aca="false">Assumptions!$F$20*IF(H$5&gt;=Assumptions!$F$26,1+Assumptions!$F$32,1)</f>
        <v>5.5</v>
      </c>
      <c r="I31" s="35" t="n">
        <f aca="false">Assumptions!$F$20*IF(I$5&gt;=Assumptions!$F$26,1+Assumptions!$F$32,1)</f>
        <v>5.5</v>
      </c>
      <c r="J31" s="35" t="n">
        <f aca="false">Assumptions!$F$20*IF(J$5&gt;=Assumptions!$F$26,1+Assumptions!$F$32,1)</f>
        <v>5.5</v>
      </c>
      <c r="K31" s="35" t="n">
        <f aca="false">Assumptions!$F$20*IF(K$5&gt;=Assumptions!$F$26,1+Assumptions!$F$32,1)</f>
        <v>5.5</v>
      </c>
      <c r="L31" s="35" t="n">
        <f aca="false">Assumptions!$F$20*IF(L$5&gt;=Assumptions!$F$26,1+Assumptions!$F$32,1)</f>
        <v>5.5</v>
      </c>
      <c r="M31" s="35" t="n">
        <f aca="false">Assumptions!$F$20*IF(M$5&gt;=Assumptions!$F$26,1+Assumptions!$F$32,1)</f>
        <v>5.5</v>
      </c>
      <c r="N31" s="35" t="n">
        <f aca="false">Assumptions!$F$20*IF(N$5&gt;=Assumptions!$F$26,1+Assumptions!$F$32,1)</f>
        <v>5.5</v>
      </c>
      <c r="O31" s="35" t="n">
        <f aca="false">Assumptions!$F$20*IF(O$5&gt;=Assumptions!$F$26,1+Assumptions!$F$32,1)</f>
        <v>5.5</v>
      </c>
      <c r="P31" s="35" t="n">
        <f aca="false">Assumptions!$F$20*IF(P$5&gt;=Assumptions!$F$26,1+Assumptions!$F$32,1)</f>
        <v>5.5</v>
      </c>
      <c r="Q31" s="35" t="n">
        <f aca="false">Assumptions!$F$20*IF(Q$5&gt;=Assumptions!$F$26,1+Assumptions!$F$32,1)</f>
        <v>5.5</v>
      </c>
      <c r="R31" s="35" t="n">
        <f aca="false">Assumptions!$F$20*IF(R$5&gt;=Assumptions!$F$26,1+Assumptions!$F$32,1)</f>
        <v>5.5</v>
      </c>
      <c r="S31" s="35" t="n">
        <f aca="false">Assumptions!$F$20*IF(S$5&gt;=Assumptions!$F$26,1+Assumptions!$F$32,1)</f>
        <v>5.5</v>
      </c>
      <c r="T31" s="35" t="n">
        <f aca="false">Assumptions!$F$20*IF(T$5&gt;=Assumptions!$F$26,1+Assumptions!$F$32,1)</f>
        <v>5.5</v>
      </c>
      <c r="U31" s="35" t="n">
        <f aca="false">Assumptions!$F$20*IF(U$5&gt;=Assumptions!$F$26,1+Assumptions!$F$32,1)</f>
        <v>5.5</v>
      </c>
      <c r="V31" s="35" t="n">
        <f aca="false">Assumptions!$F$20*IF(V$5&gt;=Assumptions!$F$26,1+Assumptions!$F$32,1)</f>
        <v>5.665</v>
      </c>
      <c r="W31" s="35" t="n">
        <f aca="false">Assumptions!$F$20*IF(W$5&gt;=Assumptions!$F$26,1+Assumptions!$F$32,1)</f>
        <v>5.665</v>
      </c>
      <c r="X31" s="35" t="n">
        <f aca="false">Assumptions!$F$20*IF(X$5&gt;=Assumptions!$F$26,1+Assumptions!$F$32,1)</f>
        <v>5.665</v>
      </c>
      <c r="Y31" s="35" t="n">
        <f aca="false">Assumptions!$F$20*IF(Y$5&gt;=Assumptions!$F$26,1+Assumptions!$F$32,1)</f>
        <v>5.665</v>
      </c>
      <c r="Z31" s="35" t="n">
        <f aca="false">Assumptions!$F$20*IF(Z$5&gt;=Assumptions!$F$26,1+Assumptions!$F$32,1)</f>
        <v>5.665</v>
      </c>
      <c r="AA31" s="35" t="n">
        <f aca="false">Assumptions!$F$20*IF(AA$5&gt;=Assumptions!$F$26,1+Assumptions!$F$32,1)</f>
        <v>5.665</v>
      </c>
      <c r="AB31" s="40" t="n">
        <f aca="false">IF(AB7=0,0,AB12/AB7)</f>
        <v>5.5</v>
      </c>
      <c r="AC31" s="40" t="n">
        <f aca="false">IF(AC7=0,0,AC12/AC7)</f>
        <v>5.59247252747253</v>
      </c>
    </row>
    <row r="32" customFormat="false" ht="15" hidden="false" customHeight="false" outlineLevel="0" collapsed="false">
      <c r="A32" s="3" t="s">
        <v>475</v>
      </c>
      <c r="B32" s="3" t="s">
        <v>66</v>
      </c>
      <c r="D32" s="54" t="n">
        <f aca="false">IF(D$5&gt;=Assumptions!$F$26,Assumptions!$F$31,Assumptions!$F$12)</f>
        <v>0.03</v>
      </c>
      <c r="E32" s="54" t="n">
        <f aca="false">IF(E$5&gt;=Assumptions!$F$26,Assumptions!$F$31,Assumptions!$F$12)</f>
        <v>0.03</v>
      </c>
      <c r="F32" s="54" t="n">
        <f aca="false">IF(F$5&gt;=Assumptions!$F$26,Assumptions!$F$31,Assumptions!$F$12)</f>
        <v>0.03</v>
      </c>
      <c r="G32" s="54" t="n">
        <f aca="false">IF(G$5&gt;=Assumptions!$F$26,Assumptions!$F$31,Assumptions!$F$12)</f>
        <v>0.03</v>
      </c>
      <c r="H32" s="54" t="n">
        <f aca="false">IF(H$5&gt;=Assumptions!$F$26,Assumptions!$F$31,Assumptions!$F$12)</f>
        <v>0.03</v>
      </c>
      <c r="I32" s="54" t="n">
        <f aca="false">IF(I$5&gt;=Assumptions!$F$26,Assumptions!$F$31,Assumptions!$F$12)</f>
        <v>0.03</v>
      </c>
      <c r="J32" s="54" t="n">
        <f aca="false">IF(J$5&gt;=Assumptions!$F$26,Assumptions!$F$31,Assumptions!$F$12)</f>
        <v>0.03</v>
      </c>
      <c r="K32" s="54" t="n">
        <f aca="false">IF(K$5&gt;=Assumptions!$F$26,Assumptions!$F$31,Assumptions!$F$12)</f>
        <v>0.03</v>
      </c>
      <c r="L32" s="54" t="n">
        <f aca="false">IF(L$5&gt;=Assumptions!$F$26,Assumptions!$F$31,Assumptions!$F$12)</f>
        <v>0.03</v>
      </c>
      <c r="M32" s="54" t="n">
        <f aca="false">IF(M$5&gt;=Assumptions!$F$26,Assumptions!$F$31,Assumptions!$F$12)</f>
        <v>0.03</v>
      </c>
      <c r="N32" s="54" t="n">
        <f aca="false">IF(N$5&gt;=Assumptions!$F$26,Assumptions!$F$31,Assumptions!$F$12)</f>
        <v>0.03</v>
      </c>
      <c r="O32" s="54" t="n">
        <f aca="false">IF(O$5&gt;=Assumptions!$F$26,Assumptions!$F$31,Assumptions!$F$12)</f>
        <v>0.03</v>
      </c>
      <c r="P32" s="54" t="n">
        <f aca="false">IF(P$5&gt;=Assumptions!$F$26,Assumptions!$F$31,Assumptions!$F$12)</f>
        <v>0.03</v>
      </c>
      <c r="Q32" s="54" t="n">
        <f aca="false">IF(Q$5&gt;=Assumptions!$F$26,Assumptions!$F$31,Assumptions!$F$12)</f>
        <v>0.03</v>
      </c>
      <c r="R32" s="54" t="n">
        <f aca="false">IF(R$5&gt;=Assumptions!$F$26,Assumptions!$F$31,Assumptions!$F$12)</f>
        <v>0.03</v>
      </c>
      <c r="S32" s="54" t="n">
        <f aca="false">IF(S$5&gt;=Assumptions!$F$26,Assumptions!$F$31,Assumptions!$F$12)</f>
        <v>0.03</v>
      </c>
      <c r="T32" s="54" t="n">
        <f aca="false">IF(T$5&gt;=Assumptions!$F$26,Assumptions!$F$31,Assumptions!$F$12)</f>
        <v>0.03</v>
      </c>
      <c r="U32" s="54" t="n">
        <f aca="false">IF(U$5&gt;=Assumptions!$F$26,Assumptions!$F$31,Assumptions!$F$12)</f>
        <v>0.03</v>
      </c>
      <c r="V32" s="54" t="n">
        <f aca="false">IF(V$5&gt;=Assumptions!$F$26,Assumptions!$F$31,Assumptions!$F$12)</f>
        <v>0.025</v>
      </c>
      <c r="W32" s="54" t="n">
        <f aca="false">IF(W$5&gt;=Assumptions!$F$26,Assumptions!$F$31,Assumptions!$F$12)</f>
        <v>0.025</v>
      </c>
      <c r="X32" s="54" t="n">
        <f aca="false">IF(X$5&gt;=Assumptions!$F$26,Assumptions!$F$31,Assumptions!$F$12)</f>
        <v>0.025</v>
      </c>
      <c r="Y32" s="54" t="n">
        <f aca="false">IF(Y$5&gt;=Assumptions!$F$26,Assumptions!$F$31,Assumptions!$F$12)</f>
        <v>0.025</v>
      </c>
      <c r="Z32" s="54" t="n">
        <f aca="false">IF(Z$5&gt;=Assumptions!$F$26,Assumptions!$F$31,Assumptions!$F$12)</f>
        <v>0.025</v>
      </c>
      <c r="AA32" s="54" t="n">
        <f aca="false">IF(AA$5&gt;=Assumptions!$F$26,Assumptions!$F$31,Assumptions!$F$12)</f>
        <v>0.025</v>
      </c>
      <c r="AB32" s="34" t="n">
        <f aca="false">IF(AB9=0,0,AB13/AB9)</f>
        <v>0.03</v>
      </c>
      <c r="AC32" s="34" t="n">
        <f aca="false">IF(AC9=0,0,AC13/AC9)</f>
        <v>0.0271978021978022</v>
      </c>
    </row>
    <row r="33" customFormat="false" ht="15" hidden="false" customHeight="false" outlineLevel="0" collapsed="false">
      <c r="A33" s="3" t="s">
        <v>476</v>
      </c>
      <c r="B33" s="3" t="s">
        <v>66</v>
      </c>
      <c r="D33" s="54" t="n">
        <f aca="false">IF(D$5&lt;=3,Assumptions!$F$13,IF(D$5&lt;=6,Assumptions!$F$14,IF(D$5&lt;=12,Assumptions!$F$15,IF(D$5&lt;Assumptions!$F$26,Assumptions!$F$16,Assumptions!$F$27))))</f>
        <v>0.3</v>
      </c>
      <c r="E33" s="54" t="n">
        <f aca="false">IF(E$5&lt;=3,Assumptions!$F$13,IF(E$5&lt;=6,Assumptions!$F$14,IF(E$5&lt;=12,Assumptions!$F$15,IF(E$5&lt;Assumptions!$F$26,Assumptions!$F$16,Assumptions!$F$27))))</f>
        <v>0.3</v>
      </c>
      <c r="F33" s="54" t="n">
        <f aca="false">IF(F$5&lt;=3,Assumptions!$F$13,IF(F$5&lt;=6,Assumptions!$F$14,IF(F$5&lt;=12,Assumptions!$F$15,IF(F$5&lt;Assumptions!$F$26,Assumptions!$F$16,Assumptions!$F$27))))</f>
        <v>0.3</v>
      </c>
      <c r="G33" s="54" t="n">
        <f aca="false">IF(G$5&lt;=3,Assumptions!$F$13,IF(G$5&lt;=6,Assumptions!$F$14,IF(G$5&lt;=12,Assumptions!$F$15,IF(G$5&lt;Assumptions!$F$26,Assumptions!$F$16,Assumptions!$F$27))))</f>
        <v>0.22</v>
      </c>
      <c r="H33" s="54" t="n">
        <f aca="false">IF(H$5&lt;=3,Assumptions!$F$13,IF(H$5&lt;=6,Assumptions!$F$14,IF(H$5&lt;=12,Assumptions!$F$15,IF(H$5&lt;Assumptions!$F$26,Assumptions!$F$16,Assumptions!$F$27))))</f>
        <v>0.22</v>
      </c>
      <c r="I33" s="54" t="n">
        <f aca="false">IF(I$5&lt;=3,Assumptions!$F$13,IF(I$5&lt;=6,Assumptions!$F$14,IF(I$5&lt;=12,Assumptions!$F$15,IF(I$5&lt;Assumptions!$F$26,Assumptions!$F$16,Assumptions!$F$27))))</f>
        <v>0.22</v>
      </c>
      <c r="J33" s="54" t="n">
        <f aca="false">IF(J$5&lt;=3,Assumptions!$F$13,IF(J$5&lt;=6,Assumptions!$F$14,IF(J$5&lt;=12,Assumptions!$F$15,IF(J$5&lt;Assumptions!$F$26,Assumptions!$F$16,Assumptions!$F$27))))</f>
        <v>0.15</v>
      </c>
      <c r="K33" s="54" t="n">
        <f aca="false">IF(K$5&lt;=3,Assumptions!$F$13,IF(K$5&lt;=6,Assumptions!$F$14,IF(K$5&lt;=12,Assumptions!$F$15,IF(K$5&lt;Assumptions!$F$26,Assumptions!$F$16,Assumptions!$F$27))))</f>
        <v>0.15</v>
      </c>
      <c r="L33" s="54" t="n">
        <f aca="false">IF(L$5&lt;=3,Assumptions!$F$13,IF(L$5&lt;=6,Assumptions!$F$14,IF(L$5&lt;=12,Assumptions!$F$15,IF(L$5&lt;Assumptions!$F$26,Assumptions!$F$16,Assumptions!$F$27))))</f>
        <v>0.15</v>
      </c>
      <c r="M33" s="54" t="n">
        <f aca="false">IF(M$5&lt;=3,Assumptions!$F$13,IF(M$5&lt;=6,Assumptions!$F$14,IF(M$5&lt;=12,Assumptions!$F$15,IF(M$5&lt;Assumptions!$F$26,Assumptions!$F$16,Assumptions!$F$27))))</f>
        <v>0.15</v>
      </c>
      <c r="N33" s="54" t="n">
        <f aca="false">IF(N$5&lt;=3,Assumptions!$F$13,IF(N$5&lt;=6,Assumptions!$F$14,IF(N$5&lt;=12,Assumptions!$F$15,IF(N$5&lt;Assumptions!$F$26,Assumptions!$F$16,Assumptions!$F$27))))</f>
        <v>0.15</v>
      </c>
      <c r="O33" s="54" t="n">
        <f aca="false">IF(O$5&lt;=3,Assumptions!$F$13,IF(O$5&lt;=6,Assumptions!$F$14,IF(O$5&lt;=12,Assumptions!$F$15,IF(O$5&lt;Assumptions!$F$26,Assumptions!$F$16,Assumptions!$F$27))))</f>
        <v>0.15</v>
      </c>
      <c r="P33" s="54" t="n">
        <f aca="false">IF(P$5&lt;=3,Assumptions!$F$13,IF(P$5&lt;=6,Assumptions!$F$14,IF(P$5&lt;=12,Assumptions!$F$15,IF(P$5&lt;Assumptions!$F$26,Assumptions!$F$16,Assumptions!$F$27))))</f>
        <v>0.11</v>
      </c>
      <c r="Q33" s="54" t="n">
        <f aca="false">IF(Q$5&lt;=3,Assumptions!$F$13,IF(Q$5&lt;=6,Assumptions!$F$14,IF(Q$5&lt;=12,Assumptions!$F$15,IF(Q$5&lt;Assumptions!$F$26,Assumptions!$F$16,Assumptions!$F$27))))</f>
        <v>0.11</v>
      </c>
      <c r="R33" s="54" t="n">
        <f aca="false">IF(R$5&lt;=3,Assumptions!$F$13,IF(R$5&lt;=6,Assumptions!$F$14,IF(R$5&lt;=12,Assumptions!$F$15,IF(R$5&lt;Assumptions!$F$26,Assumptions!$F$16,Assumptions!$F$27))))</f>
        <v>0.11</v>
      </c>
      <c r="S33" s="54" t="n">
        <f aca="false">IF(S$5&lt;=3,Assumptions!$F$13,IF(S$5&lt;=6,Assumptions!$F$14,IF(S$5&lt;=12,Assumptions!$F$15,IF(S$5&lt;Assumptions!$F$26,Assumptions!$F$16,Assumptions!$F$27))))</f>
        <v>0.11</v>
      </c>
      <c r="T33" s="54" t="n">
        <f aca="false">IF(T$5&lt;=3,Assumptions!$F$13,IF(T$5&lt;=6,Assumptions!$F$14,IF(T$5&lt;=12,Assumptions!$F$15,IF(T$5&lt;Assumptions!$F$26,Assumptions!$F$16,Assumptions!$F$27))))</f>
        <v>0.11</v>
      </c>
      <c r="U33" s="54" t="n">
        <f aca="false">IF(U$5&lt;=3,Assumptions!$F$13,IF(U$5&lt;=6,Assumptions!$F$14,IF(U$5&lt;=12,Assumptions!$F$15,IF(U$5&lt;Assumptions!$F$26,Assumptions!$F$16,Assumptions!$F$27))))</f>
        <v>0.11</v>
      </c>
      <c r="V33" s="54" t="n">
        <f aca="false">IF(V$5&lt;=3,Assumptions!$F$13,IF(V$5&lt;=6,Assumptions!$F$14,IF(V$5&lt;=12,Assumptions!$F$15,IF(V$5&lt;Assumptions!$F$26,Assumptions!$F$16,Assumptions!$F$27))))</f>
        <v>0.11</v>
      </c>
      <c r="W33" s="54" t="n">
        <f aca="false">IF(W$5&lt;=3,Assumptions!$F$13,IF(W$5&lt;=6,Assumptions!$F$14,IF(W$5&lt;=12,Assumptions!$F$15,IF(W$5&lt;Assumptions!$F$26,Assumptions!$F$16,Assumptions!$F$27))))</f>
        <v>0.11</v>
      </c>
      <c r="X33" s="54" t="n">
        <f aca="false">IF(X$5&lt;=3,Assumptions!$F$13,IF(X$5&lt;=6,Assumptions!$F$14,IF(X$5&lt;=12,Assumptions!$F$15,IF(X$5&lt;Assumptions!$F$26,Assumptions!$F$16,Assumptions!$F$27))))</f>
        <v>0.11</v>
      </c>
      <c r="Y33" s="54" t="n">
        <f aca="false">IF(Y$5&lt;=3,Assumptions!$F$13,IF(Y$5&lt;=6,Assumptions!$F$14,IF(Y$5&lt;=12,Assumptions!$F$15,IF(Y$5&lt;Assumptions!$F$26,Assumptions!$F$16,Assumptions!$F$27))))</f>
        <v>0.11</v>
      </c>
      <c r="Z33" s="54" t="n">
        <f aca="false">IF(Z$5&lt;=3,Assumptions!$F$13,IF(Z$5&lt;=6,Assumptions!$F$14,IF(Z$5&lt;=12,Assumptions!$F$15,IF(Z$5&lt;Assumptions!$F$26,Assumptions!$F$16,Assumptions!$F$27))))</f>
        <v>0.11</v>
      </c>
      <c r="AA33" s="54" t="n">
        <f aca="false">IF(AA$5&lt;=3,Assumptions!$F$13,IF(AA$5&lt;=6,Assumptions!$F$14,IF(AA$5&lt;=12,Assumptions!$F$15,IF(AA$5&lt;Assumptions!$F$26,Assumptions!$F$16,Assumptions!$F$27))))</f>
        <v>0.11</v>
      </c>
      <c r="AB33" s="34" t="n">
        <f aca="false">IF(AB9=0,0,AB15/AB9)</f>
        <v>0.171274426508071</v>
      </c>
      <c r="AC33" s="34" t="n">
        <f aca="false">IF(AC9=0,0,AC15/AC9)</f>
        <v>0.11</v>
      </c>
    </row>
    <row r="35" customFormat="false" ht="15" hidden="false" customHeight="false" outlineLevel="0" collapsed="false">
      <c r="A35" s="9" t="s">
        <v>477</v>
      </c>
    </row>
    <row r="36" customFormat="false" ht="15" hidden="false" customHeight="false" outlineLevel="0" collapsed="false">
      <c r="A36" s="9" t="s">
        <v>478</v>
      </c>
      <c r="B36" s="3" t="s">
        <v>62</v>
      </c>
      <c r="D36" s="61" t="n">
        <f aca="false">IF(D$5&gt;=13,D9*Assumptions!$F$49,0)</f>
        <v>0</v>
      </c>
      <c r="E36" s="61" t="n">
        <f aca="false">IF(E$5&gt;=13,E9*Assumptions!$F$49,0)</f>
        <v>0</v>
      </c>
      <c r="F36" s="61" t="n">
        <f aca="false">IF(F$5&gt;=13,F9*Assumptions!$F$49,0)</f>
        <v>0</v>
      </c>
      <c r="G36" s="61" t="n">
        <f aca="false">IF(G$5&gt;=13,G9*Assumptions!$F$49,0)</f>
        <v>0</v>
      </c>
      <c r="H36" s="61" t="n">
        <f aca="false">IF(H$5&gt;=13,H9*Assumptions!$F$49,0)</f>
        <v>0</v>
      </c>
      <c r="I36" s="61" t="n">
        <f aca="false">IF(I$5&gt;=13,I9*Assumptions!$F$49,0)</f>
        <v>0</v>
      </c>
      <c r="J36" s="61" t="n">
        <f aca="false">IF(J$5&gt;=13,J9*Assumptions!$F$49,0)</f>
        <v>0</v>
      </c>
      <c r="K36" s="61" t="n">
        <f aca="false">IF(K$5&gt;=13,K9*Assumptions!$F$49,0)</f>
        <v>0</v>
      </c>
      <c r="L36" s="61" t="n">
        <f aca="false">IF(L$5&gt;=13,L9*Assumptions!$F$49,0)</f>
        <v>0</v>
      </c>
      <c r="M36" s="61" t="n">
        <f aca="false">IF(M$5&gt;=13,M9*Assumptions!$F$49,0)</f>
        <v>0</v>
      </c>
      <c r="N36" s="61" t="n">
        <f aca="false">IF(N$5&gt;=13,N9*Assumptions!$F$49,0)</f>
        <v>0</v>
      </c>
      <c r="O36" s="61" t="n">
        <f aca="false">IF(O$5&gt;=13,O9*Assumptions!$F$49,0)</f>
        <v>0</v>
      </c>
      <c r="P36" s="61" t="n">
        <f aca="false">IF(P$5&gt;=13,P9*Assumptions!$F$49,0)</f>
        <v>7560</v>
      </c>
      <c r="Q36" s="61" t="n">
        <f aca="false">IF(Q$5&gt;=13,Q9*Assumptions!$F$49,0)</f>
        <v>8232</v>
      </c>
      <c r="R36" s="61" t="n">
        <f aca="false">IF(R$5&gt;=13,R9*Assumptions!$F$49,0)</f>
        <v>8736</v>
      </c>
      <c r="S36" s="61" t="n">
        <f aca="false">IF(S$5&gt;=13,S9*Assumptions!$F$49,0)</f>
        <v>9240</v>
      </c>
      <c r="T36" s="61" t="n">
        <f aca="false">IF(T$5&gt;=13,T9*Assumptions!$F$49,0)</f>
        <v>9744</v>
      </c>
      <c r="U36" s="61" t="n">
        <f aca="false">IF(U$5&gt;=13,U9*Assumptions!$F$49,0)</f>
        <v>10248</v>
      </c>
      <c r="V36" s="61" t="n">
        <f aca="false">IF(V$5&gt;=13,V9*Assumptions!$F$49,0)</f>
        <v>10584</v>
      </c>
      <c r="W36" s="61" t="n">
        <f aca="false">IF(W$5&gt;=13,W9*Assumptions!$F$49,0)</f>
        <v>10920</v>
      </c>
      <c r="X36" s="61" t="n">
        <f aca="false">IF(X$5&gt;=13,X9*Assumptions!$F$49,0)</f>
        <v>11256</v>
      </c>
      <c r="Y36" s="61" t="n">
        <f aca="false">IF(Y$5&gt;=13,Y9*Assumptions!$F$49,0)</f>
        <v>11592</v>
      </c>
      <c r="Z36" s="61" t="n">
        <f aca="false">IF(Z$5&gt;=13,Z9*Assumptions!$F$49,0)</f>
        <v>11928</v>
      </c>
      <c r="AA36" s="61" t="n">
        <f aca="false">IF(AA$5&gt;=13,AA9*Assumptions!$F$49,0)</f>
        <v>12264</v>
      </c>
      <c r="AB36" s="29" t="n">
        <f aca="false">SUM(D36:O36)</f>
        <v>0</v>
      </c>
      <c r="AC36" s="29" t="n">
        <f aca="false">SUM(P36:AA36)</f>
        <v>122304</v>
      </c>
    </row>
    <row r="37" customFormat="false" ht="15" hidden="false" customHeight="false" outlineLevel="0" collapsed="false">
      <c r="A37" s="3" t="s">
        <v>479</v>
      </c>
      <c r="B37" s="3" t="s">
        <v>95</v>
      </c>
      <c r="D37" s="31" t="n">
        <f aca="false">IF(D8=0,0,D36/D8)</f>
        <v>0</v>
      </c>
      <c r="E37" s="31" t="n">
        <f aca="false">IF(E8=0,0,E36/E8)</f>
        <v>0</v>
      </c>
      <c r="F37" s="31" t="n">
        <f aca="false">IF(F8=0,0,F36/F8)</f>
        <v>0</v>
      </c>
      <c r="G37" s="31" t="n">
        <f aca="false">IF(G8=0,0,G36/G8)</f>
        <v>0</v>
      </c>
      <c r="H37" s="31" t="n">
        <f aca="false">IF(H8=0,0,H36/H8)</f>
        <v>0</v>
      </c>
      <c r="I37" s="31" t="n">
        <f aca="false">IF(I8=0,0,I36/I8)</f>
        <v>0</v>
      </c>
      <c r="J37" s="31" t="n">
        <f aca="false">IF(J8=0,0,J36/J8)</f>
        <v>0</v>
      </c>
      <c r="K37" s="31" t="n">
        <f aca="false">IF(K8=0,0,K36/K8)</f>
        <v>0</v>
      </c>
      <c r="L37" s="31" t="n">
        <f aca="false">IF(L8=0,0,L36/L8)</f>
        <v>0</v>
      </c>
      <c r="M37" s="31" t="n">
        <f aca="false">IF(M8=0,0,M36/M8)</f>
        <v>0</v>
      </c>
      <c r="N37" s="31" t="n">
        <f aca="false">IF(N8=0,0,N36/N8)</f>
        <v>0</v>
      </c>
      <c r="O37" s="31" t="n">
        <f aca="false">IF(O8=0,0,O36/O8)</f>
        <v>0</v>
      </c>
      <c r="P37" s="31" t="n">
        <f aca="false">IF(P8=0,0,P36/P8)</f>
        <v>180</v>
      </c>
      <c r="Q37" s="31" t="n">
        <f aca="false">IF(Q8=0,0,Q36/Q8)</f>
        <v>196</v>
      </c>
      <c r="R37" s="31" t="n">
        <f aca="false">IF(R8=0,0,R36/R8)</f>
        <v>208</v>
      </c>
      <c r="S37" s="31" t="n">
        <f aca="false">IF(S8=0,0,S36/S8)</f>
        <v>220</v>
      </c>
      <c r="T37" s="31" t="n">
        <f aca="false">IF(T8=0,0,T36/T8)</f>
        <v>232</v>
      </c>
      <c r="U37" s="31" t="n">
        <f aca="false">IF(U8=0,0,U36/U8)</f>
        <v>244</v>
      </c>
      <c r="V37" s="31" t="n">
        <f aca="false">IF(V8=0,0,V36/V8)</f>
        <v>252</v>
      </c>
      <c r="W37" s="31" t="n">
        <f aca="false">IF(W8=0,0,W36/W8)</f>
        <v>260</v>
      </c>
      <c r="X37" s="31" t="n">
        <f aca="false">IF(X8=0,0,X36/X8)</f>
        <v>268</v>
      </c>
      <c r="Y37" s="31" t="n">
        <f aca="false">IF(Y8=0,0,Y36/Y8)</f>
        <v>276</v>
      </c>
      <c r="Z37" s="31" t="n">
        <f aca="false">IF(Z8=0,0,Z36/Z8)</f>
        <v>284</v>
      </c>
      <c r="AA37" s="31" t="n">
        <f aca="false">IF(AA8=0,0,AA36/AA8)</f>
        <v>292</v>
      </c>
      <c r="AB37" s="31" t="n">
        <f aca="false">SUM(D37:O37)</f>
        <v>0</v>
      </c>
      <c r="AC37" s="31" t="n">
        <f aca="false">SUM(P37:AA37)</f>
        <v>2912</v>
      </c>
    </row>
    <row r="38" customFormat="false" ht="15" hidden="false" customHeight="false" outlineLevel="0" collapsed="false">
      <c r="A38" s="3" t="s">
        <v>480</v>
      </c>
      <c r="B38" s="3" t="s">
        <v>62</v>
      </c>
      <c r="D38" s="38" t="n">
        <f aca="false">D36*D30</f>
        <v>0</v>
      </c>
      <c r="E38" s="38" t="n">
        <f aca="false">E36*E30</f>
        <v>0</v>
      </c>
      <c r="F38" s="38" t="n">
        <f aca="false">F36*F30</f>
        <v>0</v>
      </c>
      <c r="G38" s="38" t="n">
        <f aca="false">G36*G30</f>
        <v>0</v>
      </c>
      <c r="H38" s="38" t="n">
        <f aca="false">H36*H30</f>
        <v>0</v>
      </c>
      <c r="I38" s="38" t="n">
        <f aca="false">I36*I30</f>
        <v>0</v>
      </c>
      <c r="J38" s="38" t="n">
        <f aca="false">J36*J30</f>
        <v>0</v>
      </c>
      <c r="K38" s="38" t="n">
        <f aca="false">K36*K30</f>
        <v>0</v>
      </c>
      <c r="L38" s="38" t="n">
        <f aca="false">L36*L30</f>
        <v>0</v>
      </c>
      <c r="M38" s="38" t="n">
        <f aca="false">M36*M30</f>
        <v>0</v>
      </c>
      <c r="N38" s="38" t="n">
        <f aca="false">N36*N30</f>
        <v>0</v>
      </c>
      <c r="O38" s="38" t="n">
        <f aca="false">O36*O30</f>
        <v>0</v>
      </c>
      <c r="P38" s="38" t="n">
        <f aca="false">P36*P30</f>
        <v>2872.8</v>
      </c>
      <c r="Q38" s="38" t="n">
        <f aca="false">Q36*Q30</f>
        <v>3128.16</v>
      </c>
      <c r="R38" s="38" t="n">
        <f aca="false">R36*R30</f>
        <v>3319.68</v>
      </c>
      <c r="S38" s="38" t="n">
        <f aca="false">S36*S30</f>
        <v>3511.2</v>
      </c>
      <c r="T38" s="38" t="n">
        <f aca="false">T36*T30</f>
        <v>3702.72</v>
      </c>
      <c r="U38" s="38" t="n">
        <f aca="false">U36*U30</f>
        <v>3894.24</v>
      </c>
      <c r="V38" s="38" t="n">
        <f aca="false">V36*V30</f>
        <v>3863.16</v>
      </c>
      <c r="W38" s="38" t="n">
        <f aca="false">W36*W30</f>
        <v>3985.8</v>
      </c>
      <c r="X38" s="38" t="n">
        <f aca="false">X36*X30</f>
        <v>4108.44</v>
      </c>
      <c r="Y38" s="38" t="n">
        <f aca="false">Y36*Y30</f>
        <v>4231.08</v>
      </c>
      <c r="Z38" s="38" t="n">
        <f aca="false">Z36*Z30</f>
        <v>4353.72</v>
      </c>
      <c r="AA38" s="38" t="n">
        <f aca="false">AA36*AA30</f>
        <v>4476.36</v>
      </c>
      <c r="AB38" s="38" t="n">
        <f aca="false">SUM(D38:O38)</f>
        <v>0</v>
      </c>
      <c r="AC38" s="38" t="n">
        <f aca="false">SUM(P38:AA38)</f>
        <v>45447.36</v>
      </c>
    </row>
    <row r="39" customFormat="false" ht="15" hidden="false" customHeight="false" outlineLevel="0" collapsed="false">
      <c r="A39" s="3" t="s">
        <v>481</v>
      </c>
      <c r="B39" s="3" t="s">
        <v>62</v>
      </c>
      <c r="D39" s="60" t="n">
        <f aca="false">D36*Assumptions!$F$66</f>
        <v>0</v>
      </c>
      <c r="E39" s="60" t="n">
        <f aca="false">E36*Assumptions!$F$66</f>
        <v>0</v>
      </c>
      <c r="F39" s="60" t="n">
        <f aca="false">F36*Assumptions!$F$66</f>
        <v>0</v>
      </c>
      <c r="G39" s="60" t="n">
        <f aca="false">G36*Assumptions!$F$66</f>
        <v>0</v>
      </c>
      <c r="H39" s="60" t="n">
        <f aca="false">H36*Assumptions!$F$66</f>
        <v>0</v>
      </c>
      <c r="I39" s="60" t="n">
        <f aca="false">I36*Assumptions!$F$66</f>
        <v>0</v>
      </c>
      <c r="J39" s="60" t="n">
        <f aca="false">J36*Assumptions!$F$66</f>
        <v>0</v>
      </c>
      <c r="K39" s="60" t="n">
        <f aca="false">K36*Assumptions!$F$66</f>
        <v>0</v>
      </c>
      <c r="L39" s="60" t="n">
        <f aca="false">L36*Assumptions!$F$66</f>
        <v>0</v>
      </c>
      <c r="M39" s="60" t="n">
        <f aca="false">M36*Assumptions!$F$66</f>
        <v>0</v>
      </c>
      <c r="N39" s="60" t="n">
        <f aca="false">N36*Assumptions!$F$66</f>
        <v>0</v>
      </c>
      <c r="O39" s="60" t="n">
        <f aca="false">O36*Assumptions!$F$66</f>
        <v>0</v>
      </c>
      <c r="P39" s="60" t="n">
        <f aca="false">P36*Assumptions!$F$66</f>
        <v>982.8</v>
      </c>
      <c r="Q39" s="60" t="n">
        <f aca="false">Q36*Assumptions!$F$66</f>
        <v>1070.16</v>
      </c>
      <c r="R39" s="60" t="n">
        <f aca="false">R36*Assumptions!$F$66</f>
        <v>1135.68</v>
      </c>
      <c r="S39" s="60" t="n">
        <f aca="false">S36*Assumptions!$F$66</f>
        <v>1201.2</v>
      </c>
      <c r="T39" s="60" t="n">
        <f aca="false">T36*Assumptions!$F$66</f>
        <v>1266.72</v>
      </c>
      <c r="U39" s="60" t="n">
        <f aca="false">U36*Assumptions!$F$66</f>
        <v>1332.24</v>
      </c>
      <c r="V39" s="60" t="n">
        <f aca="false">V36*Assumptions!$F$66</f>
        <v>1375.92</v>
      </c>
      <c r="W39" s="60" t="n">
        <f aca="false">W36*Assumptions!$F$66</f>
        <v>1419.6</v>
      </c>
      <c r="X39" s="60" t="n">
        <f aca="false">X36*Assumptions!$F$66</f>
        <v>1463.28</v>
      </c>
      <c r="Y39" s="60" t="n">
        <f aca="false">Y36*Assumptions!$F$66</f>
        <v>1506.96</v>
      </c>
      <c r="Z39" s="60" t="n">
        <f aca="false">Z36*Assumptions!$F$66</f>
        <v>1550.64</v>
      </c>
      <c r="AA39" s="60" t="n">
        <f aca="false">AA36*Assumptions!$F$66</f>
        <v>1594.32</v>
      </c>
      <c r="AB39" s="38" t="n">
        <f aca="false">SUM(D39:O39)</f>
        <v>0</v>
      </c>
      <c r="AC39" s="38" t="n">
        <f aca="false">SUM(P39:AA39)</f>
        <v>15899.52</v>
      </c>
    </row>
    <row r="40" customFormat="false" ht="15" hidden="false" customHeight="false" outlineLevel="0" collapsed="false">
      <c r="A40" s="3" t="s">
        <v>482</v>
      </c>
      <c r="B40" s="3" t="s">
        <v>62</v>
      </c>
      <c r="D40" s="60" t="n">
        <f aca="false">D37*Assumptions!$F$67</f>
        <v>0</v>
      </c>
      <c r="E40" s="60" t="n">
        <f aca="false">E37*Assumptions!$F$67</f>
        <v>0</v>
      </c>
      <c r="F40" s="60" t="n">
        <f aca="false">F37*Assumptions!$F$67</f>
        <v>0</v>
      </c>
      <c r="G40" s="60" t="n">
        <f aca="false">G37*Assumptions!$F$67</f>
        <v>0</v>
      </c>
      <c r="H40" s="60" t="n">
        <f aca="false">H37*Assumptions!$F$67</f>
        <v>0</v>
      </c>
      <c r="I40" s="60" t="n">
        <f aca="false">I37*Assumptions!$F$67</f>
        <v>0</v>
      </c>
      <c r="J40" s="60" t="n">
        <f aca="false">J37*Assumptions!$F$67</f>
        <v>0</v>
      </c>
      <c r="K40" s="60" t="n">
        <f aca="false">K37*Assumptions!$F$67</f>
        <v>0</v>
      </c>
      <c r="L40" s="60" t="n">
        <f aca="false">L37*Assumptions!$F$67</f>
        <v>0</v>
      </c>
      <c r="M40" s="60" t="n">
        <f aca="false">M37*Assumptions!$F$67</f>
        <v>0</v>
      </c>
      <c r="N40" s="60" t="n">
        <f aca="false">N37*Assumptions!$F$67</f>
        <v>0</v>
      </c>
      <c r="O40" s="60" t="n">
        <f aca="false">O37*Assumptions!$F$67</f>
        <v>0</v>
      </c>
      <c r="P40" s="60" t="n">
        <f aca="false">P37*Assumptions!$F$67</f>
        <v>1170</v>
      </c>
      <c r="Q40" s="60" t="n">
        <f aca="false">Q37*Assumptions!$F$67</f>
        <v>1274</v>
      </c>
      <c r="R40" s="60" t="n">
        <f aca="false">R37*Assumptions!$F$67</f>
        <v>1352</v>
      </c>
      <c r="S40" s="60" t="n">
        <f aca="false">S37*Assumptions!$F$67</f>
        <v>1430</v>
      </c>
      <c r="T40" s="60" t="n">
        <f aca="false">T37*Assumptions!$F$67</f>
        <v>1508</v>
      </c>
      <c r="U40" s="60" t="n">
        <f aca="false">U37*Assumptions!$F$67</f>
        <v>1586</v>
      </c>
      <c r="V40" s="60" t="n">
        <f aca="false">V37*Assumptions!$F$67</f>
        <v>1638</v>
      </c>
      <c r="W40" s="60" t="n">
        <f aca="false">W37*Assumptions!$F$67</f>
        <v>1690</v>
      </c>
      <c r="X40" s="60" t="n">
        <f aca="false">X37*Assumptions!$F$67</f>
        <v>1742</v>
      </c>
      <c r="Y40" s="60" t="n">
        <f aca="false">Y37*Assumptions!$F$67</f>
        <v>1794</v>
      </c>
      <c r="Z40" s="60" t="n">
        <f aca="false">Z37*Assumptions!$F$67</f>
        <v>1846</v>
      </c>
      <c r="AA40" s="60" t="n">
        <f aca="false">AA37*Assumptions!$F$67</f>
        <v>1898</v>
      </c>
      <c r="AB40" s="38" t="n">
        <f aca="false">SUM(D40:O40)</f>
        <v>0</v>
      </c>
      <c r="AC40" s="38" t="n">
        <f aca="false">SUM(P40:AA40)</f>
        <v>18928</v>
      </c>
    </row>
    <row r="41" customFormat="false" ht="15" hidden="false" customHeight="false" outlineLevel="0" collapsed="false">
      <c r="A41" s="3" t="s">
        <v>483</v>
      </c>
      <c r="B41" s="3" t="s">
        <v>62</v>
      </c>
      <c r="D41" s="60" t="n">
        <f aca="false">D36*Assumptions!$F$68</f>
        <v>0</v>
      </c>
      <c r="E41" s="60" t="n">
        <f aca="false">E36*Assumptions!$F$68</f>
        <v>0</v>
      </c>
      <c r="F41" s="60" t="n">
        <f aca="false">F36*Assumptions!$F$68</f>
        <v>0</v>
      </c>
      <c r="G41" s="60" t="n">
        <f aca="false">G36*Assumptions!$F$68</f>
        <v>0</v>
      </c>
      <c r="H41" s="60" t="n">
        <f aca="false">H36*Assumptions!$F$68</f>
        <v>0</v>
      </c>
      <c r="I41" s="60" t="n">
        <f aca="false">I36*Assumptions!$F$68</f>
        <v>0</v>
      </c>
      <c r="J41" s="60" t="n">
        <f aca="false">J36*Assumptions!$F$68</f>
        <v>0</v>
      </c>
      <c r="K41" s="60" t="n">
        <f aca="false">K36*Assumptions!$F$68</f>
        <v>0</v>
      </c>
      <c r="L41" s="60" t="n">
        <f aca="false">L36*Assumptions!$F$68</f>
        <v>0</v>
      </c>
      <c r="M41" s="60" t="n">
        <f aca="false">M36*Assumptions!$F$68</f>
        <v>0</v>
      </c>
      <c r="N41" s="60" t="n">
        <f aca="false">N36*Assumptions!$F$68</f>
        <v>0</v>
      </c>
      <c r="O41" s="60" t="n">
        <f aca="false">O36*Assumptions!$F$68</f>
        <v>0</v>
      </c>
      <c r="P41" s="60" t="n">
        <f aca="false">P36*Assumptions!$F$68</f>
        <v>378</v>
      </c>
      <c r="Q41" s="60" t="n">
        <f aca="false">Q36*Assumptions!$F$68</f>
        <v>411.6</v>
      </c>
      <c r="R41" s="60" t="n">
        <f aca="false">R36*Assumptions!$F$68</f>
        <v>436.8</v>
      </c>
      <c r="S41" s="60" t="n">
        <f aca="false">S36*Assumptions!$F$68</f>
        <v>462</v>
      </c>
      <c r="T41" s="60" t="n">
        <f aca="false">T36*Assumptions!$F$68</f>
        <v>487.2</v>
      </c>
      <c r="U41" s="60" t="n">
        <f aca="false">U36*Assumptions!$F$68</f>
        <v>512.4</v>
      </c>
      <c r="V41" s="60" t="n">
        <f aca="false">V36*Assumptions!$F$68</f>
        <v>529.2</v>
      </c>
      <c r="W41" s="60" t="n">
        <f aca="false">W36*Assumptions!$F$68</f>
        <v>546</v>
      </c>
      <c r="X41" s="60" t="n">
        <f aca="false">X36*Assumptions!$F$68</f>
        <v>562.8</v>
      </c>
      <c r="Y41" s="60" t="n">
        <f aca="false">Y36*Assumptions!$F$68</f>
        <v>579.6</v>
      </c>
      <c r="Z41" s="60" t="n">
        <f aca="false">Z36*Assumptions!$F$68</f>
        <v>596.4</v>
      </c>
      <c r="AA41" s="60" t="n">
        <f aca="false">AA36*Assumptions!$F$68</f>
        <v>613.2</v>
      </c>
      <c r="AB41" s="38" t="n">
        <f aca="false">SUM(D41:O41)</f>
        <v>0</v>
      </c>
      <c r="AC41" s="38" t="n">
        <f aca="false">SUM(P41:AA41)</f>
        <v>6115.2</v>
      </c>
    </row>
    <row r="42" customFormat="false" ht="15" hidden="false" customHeight="false" outlineLevel="0" collapsed="false">
      <c r="A42" s="3" t="s">
        <v>484</v>
      </c>
      <c r="B42" s="3" t="s">
        <v>62</v>
      </c>
      <c r="D42" s="60" t="n">
        <f aca="false">D36*Assumptions!$F$69</f>
        <v>0</v>
      </c>
      <c r="E42" s="60" t="n">
        <f aca="false">E36*Assumptions!$F$69</f>
        <v>0</v>
      </c>
      <c r="F42" s="60" t="n">
        <f aca="false">F36*Assumptions!$F$69</f>
        <v>0</v>
      </c>
      <c r="G42" s="60" t="n">
        <f aca="false">G36*Assumptions!$F$69</f>
        <v>0</v>
      </c>
      <c r="H42" s="60" t="n">
        <f aca="false">H36*Assumptions!$F$69</f>
        <v>0</v>
      </c>
      <c r="I42" s="60" t="n">
        <f aca="false">I36*Assumptions!$F$69</f>
        <v>0</v>
      </c>
      <c r="J42" s="60" t="n">
        <f aca="false">J36*Assumptions!$F$69</f>
        <v>0</v>
      </c>
      <c r="K42" s="60" t="n">
        <f aca="false">K36*Assumptions!$F$69</f>
        <v>0</v>
      </c>
      <c r="L42" s="60" t="n">
        <f aca="false">L36*Assumptions!$F$69</f>
        <v>0</v>
      </c>
      <c r="M42" s="60" t="n">
        <f aca="false">M36*Assumptions!$F$69</f>
        <v>0</v>
      </c>
      <c r="N42" s="60" t="n">
        <f aca="false">N36*Assumptions!$F$69</f>
        <v>0</v>
      </c>
      <c r="O42" s="60" t="n">
        <f aca="false">O36*Assumptions!$F$69</f>
        <v>0</v>
      </c>
      <c r="P42" s="60" t="n">
        <f aca="false">P36*Assumptions!$F$69</f>
        <v>226.8</v>
      </c>
      <c r="Q42" s="60" t="n">
        <f aca="false">Q36*Assumptions!$F$69</f>
        <v>246.96</v>
      </c>
      <c r="R42" s="60" t="n">
        <f aca="false">R36*Assumptions!$F$69</f>
        <v>262.08</v>
      </c>
      <c r="S42" s="60" t="n">
        <f aca="false">S36*Assumptions!$F$69</f>
        <v>277.2</v>
      </c>
      <c r="T42" s="60" t="n">
        <f aca="false">T36*Assumptions!$F$69</f>
        <v>292.32</v>
      </c>
      <c r="U42" s="60" t="n">
        <f aca="false">U36*Assumptions!$F$69</f>
        <v>307.44</v>
      </c>
      <c r="V42" s="60" t="n">
        <f aca="false">V36*Assumptions!$F$69</f>
        <v>317.52</v>
      </c>
      <c r="W42" s="60" t="n">
        <f aca="false">W36*Assumptions!$F$69</f>
        <v>327.6</v>
      </c>
      <c r="X42" s="60" t="n">
        <f aca="false">X36*Assumptions!$F$69</f>
        <v>337.68</v>
      </c>
      <c r="Y42" s="60" t="n">
        <f aca="false">Y36*Assumptions!$F$69</f>
        <v>347.76</v>
      </c>
      <c r="Z42" s="60" t="n">
        <f aca="false">Z36*Assumptions!$F$69</f>
        <v>357.84</v>
      </c>
      <c r="AA42" s="60" t="n">
        <f aca="false">AA36*Assumptions!$F$69</f>
        <v>367.92</v>
      </c>
      <c r="AB42" s="38" t="n">
        <f aca="false">SUM(D42:O42)</f>
        <v>0</v>
      </c>
      <c r="AC42" s="38" t="n">
        <f aca="false">SUM(P42:AA42)</f>
        <v>3669.12</v>
      </c>
    </row>
    <row r="43" customFormat="false" ht="15" hidden="false" customHeight="false" outlineLevel="0" collapsed="false">
      <c r="A43" s="9" t="s">
        <v>485</v>
      </c>
      <c r="B43" s="3" t="s">
        <v>62</v>
      </c>
      <c r="D43" s="29" t="n">
        <f aca="false">D36-D38-D39-D40-D41-D42</f>
        <v>0</v>
      </c>
      <c r="E43" s="29" t="n">
        <f aca="false">E36-E38-E39-E40-E41-E42</f>
        <v>0</v>
      </c>
      <c r="F43" s="29" t="n">
        <f aca="false">F36-F38-F39-F40-F41-F42</f>
        <v>0</v>
      </c>
      <c r="G43" s="29" t="n">
        <f aca="false">G36-G38-G39-G40-G41-G42</f>
        <v>0</v>
      </c>
      <c r="H43" s="29" t="n">
        <f aca="false">H36-H38-H39-H40-H41-H42</f>
        <v>0</v>
      </c>
      <c r="I43" s="29" t="n">
        <f aca="false">I36-I38-I39-I40-I41-I42</f>
        <v>0</v>
      </c>
      <c r="J43" s="29" t="n">
        <f aca="false">J36-J38-J39-J40-J41-J42</f>
        <v>0</v>
      </c>
      <c r="K43" s="29" t="n">
        <f aca="false">K36-K38-K39-K40-K41-K42</f>
        <v>0</v>
      </c>
      <c r="L43" s="29" t="n">
        <f aca="false">L36-L38-L39-L40-L41-L42</f>
        <v>0</v>
      </c>
      <c r="M43" s="29" t="n">
        <f aca="false">M36-M38-M39-M40-M41-M42</f>
        <v>0</v>
      </c>
      <c r="N43" s="29" t="n">
        <f aca="false">N36-N38-N39-N40-N41-N42</f>
        <v>0</v>
      </c>
      <c r="O43" s="29" t="n">
        <f aca="false">O36-O38-O39-O40-O41-O42</f>
        <v>0</v>
      </c>
      <c r="P43" s="29" t="n">
        <f aca="false">P36-P38-P39-P40-P41-P42</f>
        <v>1929.6</v>
      </c>
      <c r="Q43" s="29" t="n">
        <f aca="false">Q36-Q38-Q39-Q40-Q41-Q42</f>
        <v>2101.12</v>
      </c>
      <c r="R43" s="29" t="n">
        <f aca="false">R36-R38-R39-R40-R41-R42</f>
        <v>2229.76</v>
      </c>
      <c r="S43" s="29" t="n">
        <f aca="false">S36-S38-S39-S40-S41-S42</f>
        <v>2358.4</v>
      </c>
      <c r="T43" s="29" t="n">
        <f aca="false">T36-T38-T39-T40-T41-T42</f>
        <v>2487.04</v>
      </c>
      <c r="U43" s="29" t="n">
        <f aca="false">U36-U38-U39-U40-U41-U42</f>
        <v>2615.68</v>
      </c>
      <c r="V43" s="29" t="n">
        <f aca="false">V36-V38-V39-V40-V41-V42</f>
        <v>2860.2</v>
      </c>
      <c r="W43" s="29" t="n">
        <f aca="false">W36-W38-W39-W40-W41-W42</f>
        <v>2951</v>
      </c>
      <c r="X43" s="29" t="n">
        <f aca="false">X36-X38-X39-X40-X41-X42</f>
        <v>3041.8</v>
      </c>
      <c r="Y43" s="29" t="n">
        <f aca="false">Y36-Y38-Y39-Y40-Y41-Y42</f>
        <v>3132.6</v>
      </c>
      <c r="Z43" s="29" t="n">
        <f aca="false">Z36-Z38-Z39-Z40-Z41-Z42</f>
        <v>3223.4</v>
      </c>
      <c r="AA43" s="29" t="n">
        <f aca="false">AA36-AA38-AA39-AA40-AA41-AA42</f>
        <v>3314.2</v>
      </c>
      <c r="AB43" s="29" t="n">
        <f aca="false">SUM(D43:O43)</f>
        <v>0</v>
      </c>
      <c r="AC43" s="29" t="n">
        <f aca="false">SUM(P43:AA43)</f>
        <v>32244.8</v>
      </c>
    </row>
    <row r="44" customFormat="false" ht="15" hidden="false" customHeight="false" outlineLevel="0" collapsed="false">
      <c r="A44" s="9" t="s">
        <v>486</v>
      </c>
      <c r="B44" s="3" t="s">
        <v>62</v>
      </c>
      <c r="D44" s="61" t="n">
        <f aca="false">IF(D$5&gt;=13,Assumptions!$F$53/12,0)</f>
        <v>0</v>
      </c>
      <c r="E44" s="61" t="n">
        <f aca="false">IF(E$5&gt;=13,Assumptions!$F$53/12,0)</f>
        <v>0</v>
      </c>
      <c r="F44" s="61" t="n">
        <f aca="false">IF(F$5&gt;=13,Assumptions!$F$53/12,0)</f>
        <v>0</v>
      </c>
      <c r="G44" s="61" t="n">
        <f aca="false">IF(G$5&gt;=13,Assumptions!$F$53/12,0)</f>
        <v>0</v>
      </c>
      <c r="H44" s="61" t="n">
        <f aca="false">IF(H$5&gt;=13,Assumptions!$F$53/12,0)</f>
        <v>0</v>
      </c>
      <c r="I44" s="61" t="n">
        <f aca="false">IF(I$5&gt;=13,Assumptions!$F$53/12,0)</f>
        <v>0</v>
      </c>
      <c r="J44" s="61" t="n">
        <f aca="false">IF(J$5&gt;=13,Assumptions!$F$53/12,0)</f>
        <v>0</v>
      </c>
      <c r="K44" s="61" t="n">
        <f aca="false">IF(K$5&gt;=13,Assumptions!$F$53/12,0)</f>
        <v>0</v>
      </c>
      <c r="L44" s="61" t="n">
        <f aca="false">IF(L$5&gt;=13,Assumptions!$F$53/12,0)</f>
        <v>0</v>
      </c>
      <c r="M44" s="61" t="n">
        <f aca="false">IF(M$5&gt;=13,Assumptions!$F$53/12,0)</f>
        <v>0</v>
      </c>
      <c r="N44" s="61" t="n">
        <f aca="false">IF(N$5&gt;=13,Assumptions!$F$53/12,0)</f>
        <v>0</v>
      </c>
      <c r="O44" s="61" t="n">
        <f aca="false">IF(O$5&gt;=13,Assumptions!$F$53/12,0)</f>
        <v>0</v>
      </c>
      <c r="P44" s="61" t="n">
        <f aca="false">IF(P$5&gt;=13,Assumptions!$F$53/12,0)</f>
        <v>10000</v>
      </c>
      <c r="Q44" s="61" t="n">
        <f aca="false">IF(Q$5&gt;=13,Assumptions!$F$53/12,0)</f>
        <v>10000</v>
      </c>
      <c r="R44" s="61" t="n">
        <f aca="false">IF(R$5&gt;=13,Assumptions!$F$53/12,0)</f>
        <v>10000</v>
      </c>
      <c r="S44" s="61" t="n">
        <f aca="false">IF(S$5&gt;=13,Assumptions!$F$53/12,0)</f>
        <v>10000</v>
      </c>
      <c r="T44" s="61" t="n">
        <f aca="false">IF(T$5&gt;=13,Assumptions!$F$53/12,0)</f>
        <v>10000</v>
      </c>
      <c r="U44" s="61" t="n">
        <f aca="false">IF(U$5&gt;=13,Assumptions!$F$53/12,0)</f>
        <v>10000</v>
      </c>
      <c r="V44" s="61" t="n">
        <f aca="false">IF(V$5&gt;=13,Assumptions!$F$53/12,0)</f>
        <v>10000</v>
      </c>
      <c r="W44" s="61" t="n">
        <f aca="false">IF(W$5&gt;=13,Assumptions!$F$53/12,0)</f>
        <v>10000</v>
      </c>
      <c r="X44" s="61" t="n">
        <f aca="false">IF(X$5&gt;=13,Assumptions!$F$53/12,0)</f>
        <v>10000</v>
      </c>
      <c r="Y44" s="61" t="n">
        <f aca="false">IF(Y$5&gt;=13,Assumptions!$F$53/12,0)</f>
        <v>10000</v>
      </c>
      <c r="Z44" s="61" t="n">
        <f aca="false">IF(Z$5&gt;=13,Assumptions!$F$53/12,0)</f>
        <v>10000</v>
      </c>
      <c r="AA44" s="61" t="n">
        <f aca="false">IF(AA$5&gt;=13,Assumptions!$F$53/12,0)</f>
        <v>10000</v>
      </c>
      <c r="AB44" s="29" t="n">
        <f aca="false">SUM(D44:O44)</f>
        <v>0</v>
      </c>
      <c r="AC44" s="29" t="n">
        <f aca="false">SUM(P44:AA44)</f>
        <v>120000</v>
      </c>
    </row>
    <row r="45" customFormat="false" ht="15" hidden="false" customHeight="false" outlineLevel="0" collapsed="false">
      <c r="A45" s="3" t="s">
        <v>487</v>
      </c>
      <c r="B45" s="3" t="s">
        <v>95</v>
      </c>
      <c r="D45" s="62" t="n">
        <f aca="false">IF(D8=0,0,D44/(D8*Assumptions!$F$70))</f>
        <v>0</v>
      </c>
      <c r="E45" s="62" t="n">
        <f aca="false">IF(E8=0,0,E44/(E8*Assumptions!$F$70))</f>
        <v>0</v>
      </c>
      <c r="F45" s="62" t="n">
        <f aca="false">IF(F8=0,0,F44/(F8*Assumptions!$F$70))</f>
        <v>0</v>
      </c>
      <c r="G45" s="62" t="n">
        <f aca="false">IF(G8=0,0,G44/(G8*Assumptions!$F$70))</f>
        <v>0</v>
      </c>
      <c r="H45" s="62" t="n">
        <f aca="false">IF(H8=0,0,H44/(H8*Assumptions!$F$70))</f>
        <v>0</v>
      </c>
      <c r="I45" s="62" t="n">
        <f aca="false">IF(I8=0,0,I44/(I8*Assumptions!$F$70))</f>
        <v>0</v>
      </c>
      <c r="J45" s="62" t="n">
        <f aca="false">IF(J8=0,0,J44/(J8*Assumptions!$F$70))</f>
        <v>0</v>
      </c>
      <c r="K45" s="62" t="n">
        <f aca="false">IF(K8=0,0,K44/(K8*Assumptions!$F$70))</f>
        <v>0</v>
      </c>
      <c r="L45" s="62" t="n">
        <f aca="false">IF(L8=0,0,L44/(L8*Assumptions!$F$70))</f>
        <v>0</v>
      </c>
      <c r="M45" s="62" t="n">
        <f aca="false">IF(M8=0,0,M44/(M8*Assumptions!$F$70))</f>
        <v>0</v>
      </c>
      <c r="N45" s="62" t="n">
        <f aca="false">IF(N8=0,0,N44/(N8*Assumptions!$F$70))</f>
        <v>0</v>
      </c>
      <c r="O45" s="62" t="n">
        <f aca="false">IF(O8=0,0,O44/(O8*Assumptions!$F$70))</f>
        <v>0</v>
      </c>
      <c r="P45" s="62" t="n">
        <f aca="false">IF(P8=0,0,P44/(P8*Assumptions!$F$70))</f>
        <v>396.825396825397</v>
      </c>
      <c r="Q45" s="62" t="n">
        <f aca="false">IF(Q8=0,0,Q44/(Q8*Assumptions!$F$70))</f>
        <v>396.825396825397</v>
      </c>
      <c r="R45" s="62" t="n">
        <f aca="false">IF(R8=0,0,R44/(R8*Assumptions!$F$70))</f>
        <v>396.825396825397</v>
      </c>
      <c r="S45" s="62" t="n">
        <f aca="false">IF(S8=0,0,S44/(S8*Assumptions!$F$70))</f>
        <v>396.825396825397</v>
      </c>
      <c r="T45" s="62" t="n">
        <f aca="false">IF(T8=0,0,T44/(T8*Assumptions!$F$70))</f>
        <v>396.825396825397</v>
      </c>
      <c r="U45" s="62" t="n">
        <f aca="false">IF(U8=0,0,U44/(U8*Assumptions!$F$70))</f>
        <v>396.825396825397</v>
      </c>
      <c r="V45" s="62" t="n">
        <f aca="false">IF(V8=0,0,V44/(V8*Assumptions!$F$70))</f>
        <v>396.825396825397</v>
      </c>
      <c r="W45" s="62" t="n">
        <f aca="false">IF(W8=0,0,W44/(W8*Assumptions!$F$70))</f>
        <v>396.825396825397</v>
      </c>
      <c r="X45" s="62" t="n">
        <f aca="false">IF(X8=0,0,X44/(X8*Assumptions!$F$70))</f>
        <v>396.825396825397</v>
      </c>
      <c r="Y45" s="62" t="n">
        <f aca="false">IF(Y8=0,0,Y44/(Y8*Assumptions!$F$70))</f>
        <v>396.825396825397</v>
      </c>
      <c r="Z45" s="62" t="n">
        <f aca="false">IF(Z8=0,0,Z44/(Z8*Assumptions!$F$70))</f>
        <v>396.825396825397</v>
      </c>
      <c r="AA45" s="62" t="n">
        <f aca="false">IF(AA8=0,0,AA44/(AA8*Assumptions!$F$70))</f>
        <v>396.825396825397</v>
      </c>
      <c r="AB45" s="31" t="n">
        <f aca="false">SUM(D45:O45)</f>
        <v>0</v>
      </c>
      <c r="AC45" s="31" t="n">
        <f aca="false">SUM(P45:AA45)</f>
        <v>4761.90476190476</v>
      </c>
    </row>
    <row r="46" customFormat="false" ht="15" hidden="false" customHeight="false" outlineLevel="0" collapsed="false">
      <c r="A46" s="3" t="s">
        <v>488</v>
      </c>
      <c r="B46" s="3" t="s">
        <v>62</v>
      </c>
      <c r="D46" s="38" t="n">
        <f aca="false">D45*D8*D30</f>
        <v>0</v>
      </c>
      <c r="E46" s="38" t="n">
        <f aca="false">E45*E8*E30</f>
        <v>0</v>
      </c>
      <c r="F46" s="38" t="n">
        <f aca="false">F45*F8*F30</f>
        <v>0</v>
      </c>
      <c r="G46" s="38" t="n">
        <f aca="false">G45*G8*G30</f>
        <v>0</v>
      </c>
      <c r="H46" s="38" t="n">
        <f aca="false">H45*H8*H30</f>
        <v>0</v>
      </c>
      <c r="I46" s="38" t="n">
        <f aca="false">I45*I8*I30</f>
        <v>0</v>
      </c>
      <c r="J46" s="38" t="n">
        <f aca="false">J45*J8*J30</f>
        <v>0</v>
      </c>
      <c r="K46" s="38" t="n">
        <f aca="false">K45*K8*K30</f>
        <v>0</v>
      </c>
      <c r="L46" s="38" t="n">
        <f aca="false">L45*L8*L30</f>
        <v>0</v>
      </c>
      <c r="M46" s="38" t="n">
        <f aca="false">M45*M8*M30</f>
        <v>0</v>
      </c>
      <c r="N46" s="38" t="n">
        <f aca="false">N45*N8*N30</f>
        <v>0</v>
      </c>
      <c r="O46" s="38" t="n">
        <f aca="false">O45*O8*O30</f>
        <v>0</v>
      </c>
      <c r="P46" s="38" t="n">
        <f aca="false">P45*P8*P30</f>
        <v>6333.33333333333</v>
      </c>
      <c r="Q46" s="38" t="n">
        <f aca="false">Q45*Q8*Q30</f>
        <v>6333.33333333333</v>
      </c>
      <c r="R46" s="38" t="n">
        <f aca="false">R45*R8*R30</f>
        <v>6333.33333333333</v>
      </c>
      <c r="S46" s="38" t="n">
        <f aca="false">S45*S8*S30</f>
        <v>6333.33333333333</v>
      </c>
      <c r="T46" s="38" t="n">
        <f aca="false">T45*T8*T30</f>
        <v>6333.33333333333</v>
      </c>
      <c r="U46" s="38" t="n">
        <f aca="false">U45*U8*U30</f>
        <v>6333.33333333333</v>
      </c>
      <c r="V46" s="38" t="n">
        <f aca="false">V45*V8*V30</f>
        <v>6083.33333333333</v>
      </c>
      <c r="W46" s="38" t="n">
        <f aca="false">W45*W8*W30</f>
        <v>6083.33333333333</v>
      </c>
      <c r="X46" s="38" t="n">
        <f aca="false">X45*X8*X30</f>
        <v>6083.33333333333</v>
      </c>
      <c r="Y46" s="38" t="n">
        <f aca="false">Y45*Y8*Y30</f>
        <v>6083.33333333333</v>
      </c>
      <c r="Z46" s="38" t="n">
        <f aca="false">Z45*Z8*Z30</f>
        <v>6083.33333333333</v>
      </c>
      <c r="AA46" s="38" t="n">
        <f aca="false">AA45*AA8*AA30</f>
        <v>6083.33333333333</v>
      </c>
      <c r="AB46" s="38" t="n">
        <f aca="false">SUM(D46:O46)</f>
        <v>0</v>
      </c>
      <c r="AC46" s="38" t="n">
        <f aca="false">SUM(P46:AA46)</f>
        <v>74500</v>
      </c>
    </row>
    <row r="47" customFormat="false" ht="15" hidden="false" customHeight="false" outlineLevel="0" collapsed="false">
      <c r="A47" s="3" t="s">
        <v>489</v>
      </c>
      <c r="B47" s="3" t="s">
        <v>62</v>
      </c>
      <c r="D47" s="60" t="n">
        <f aca="false">D45*Assumptions!$F$71</f>
        <v>0</v>
      </c>
      <c r="E47" s="60" t="n">
        <f aca="false">E45*Assumptions!$F$71</f>
        <v>0</v>
      </c>
      <c r="F47" s="60" t="n">
        <f aca="false">F45*Assumptions!$F$71</f>
        <v>0</v>
      </c>
      <c r="G47" s="60" t="n">
        <f aca="false">G45*Assumptions!$F$71</f>
        <v>0</v>
      </c>
      <c r="H47" s="60" t="n">
        <f aca="false">H45*Assumptions!$F$71</f>
        <v>0</v>
      </c>
      <c r="I47" s="60" t="n">
        <f aca="false">I45*Assumptions!$F$71</f>
        <v>0</v>
      </c>
      <c r="J47" s="60" t="n">
        <f aca="false">J45*Assumptions!$F$71</f>
        <v>0</v>
      </c>
      <c r="K47" s="60" t="n">
        <f aca="false">K45*Assumptions!$F$71</f>
        <v>0</v>
      </c>
      <c r="L47" s="60" t="n">
        <f aca="false">L45*Assumptions!$F$71</f>
        <v>0</v>
      </c>
      <c r="M47" s="60" t="n">
        <f aca="false">M45*Assumptions!$F$71</f>
        <v>0</v>
      </c>
      <c r="N47" s="60" t="n">
        <f aca="false">N45*Assumptions!$F$71</f>
        <v>0</v>
      </c>
      <c r="O47" s="60" t="n">
        <f aca="false">O45*Assumptions!$F$71</f>
        <v>0</v>
      </c>
      <c r="P47" s="60" t="n">
        <f aca="false">P45*Assumptions!$F$71</f>
        <v>1587.30158730159</v>
      </c>
      <c r="Q47" s="60" t="n">
        <f aca="false">Q45*Assumptions!$F$71</f>
        <v>1587.30158730159</v>
      </c>
      <c r="R47" s="60" t="n">
        <f aca="false">R45*Assumptions!$F$71</f>
        <v>1587.30158730159</v>
      </c>
      <c r="S47" s="60" t="n">
        <f aca="false">S45*Assumptions!$F$71</f>
        <v>1587.30158730159</v>
      </c>
      <c r="T47" s="60" t="n">
        <f aca="false">T45*Assumptions!$F$71</f>
        <v>1587.30158730159</v>
      </c>
      <c r="U47" s="60" t="n">
        <f aca="false">U45*Assumptions!$F$71</f>
        <v>1587.30158730159</v>
      </c>
      <c r="V47" s="60" t="n">
        <f aca="false">V45*Assumptions!$F$71</f>
        <v>1587.30158730159</v>
      </c>
      <c r="W47" s="60" t="n">
        <f aca="false">W45*Assumptions!$F$71</f>
        <v>1587.30158730159</v>
      </c>
      <c r="X47" s="60" t="n">
        <f aca="false">X45*Assumptions!$F$71</f>
        <v>1587.30158730159</v>
      </c>
      <c r="Y47" s="60" t="n">
        <f aca="false">Y45*Assumptions!$F$71</f>
        <v>1587.30158730159</v>
      </c>
      <c r="Z47" s="60" t="n">
        <f aca="false">Z45*Assumptions!$F$71</f>
        <v>1587.30158730159</v>
      </c>
      <c r="AA47" s="60" t="n">
        <f aca="false">AA45*Assumptions!$F$71</f>
        <v>1587.30158730159</v>
      </c>
      <c r="AB47" s="38" t="n">
        <f aca="false">SUM(D47:O47)</f>
        <v>0</v>
      </c>
      <c r="AC47" s="38" t="n">
        <f aca="false">SUM(P47:AA47)</f>
        <v>19047.619047619</v>
      </c>
    </row>
    <row r="48" customFormat="false" ht="15" hidden="false" customHeight="false" outlineLevel="0" collapsed="false">
      <c r="A48" s="3" t="s">
        <v>490</v>
      </c>
      <c r="B48" s="3" t="s">
        <v>62</v>
      </c>
      <c r="D48" s="60" t="n">
        <f aca="false">D44*Assumptions!$F$72</f>
        <v>0</v>
      </c>
      <c r="E48" s="60" t="n">
        <f aca="false">E44*Assumptions!$F$72</f>
        <v>0</v>
      </c>
      <c r="F48" s="60" t="n">
        <f aca="false">F44*Assumptions!$F$72</f>
        <v>0</v>
      </c>
      <c r="G48" s="60" t="n">
        <f aca="false">G44*Assumptions!$F$72</f>
        <v>0</v>
      </c>
      <c r="H48" s="60" t="n">
        <f aca="false">H44*Assumptions!$F$72</f>
        <v>0</v>
      </c>
      <c r="I48" s="60" t="n">
        <f aca="false">I44*Assumptions!$F$72</f>
        <v>0</v>
      </c>
      <c r="J48" s="60" t="n">
        <f aca="false">J44*Assumptions!$F$72</f>
        <v>0</v>
      </c>
      <c r="K48" s="60" t="n">
        <f aca="false">K44*Assumptions!$F$72</f>
        <v>0</v>
      </c>
      <c r="L48" s="60" t="n">
        <f aca="false">L44*Assumptions!$F$72</f>
        <v>0</v>
      </c>
      <c r="M48" s="60" t="n">
        <f aca="false">M44*Assumptions!$F$72</f>
        <v>0</v>
      </c>
      <c r="N48" s="60" t="n">
        <f aca="false">N44*Assumptions!$F$72</f>
        <v>0</v>
      </c>
      <c r="O48" s="60" t="n">
        <f aca="false">O44*Assumptions!$F$72</f>
        <v>0</v>
      </c>
      <c r="P48" s="60" t="n">
        <f aca="false">P44*Assumptions!$F$72</f>
        <v>500</v>
      </c>
      <c r="Q48" s="60" t="n">
        <f aca="false">Q44*Assumptions!$F$72</f>
        <v>500</v>
      </c>
      <c r="R48" s="60" t="n">
        <f aca="false">R44*Assumptions!$F$72</f>
        <v>500</v>
      </c>
      <c r="S48" s="60" t="n">
        <f aca="false">S44*Assumptions!$F$72</f>
        <v>500</v>
      </c>
      <c r="T48" s="60" t="n">
        <f aca="false">T44*Assumptions!$F$72</f>
        <v>500</v>
      </c>
      <c r="U48" s="60" t="n">
        <f aca="false">U44*Assumptions!$F$72</f>
        <v>500</v>
      </c>
      <c r="V48" s="60" t="n">
        <f aca="false">V44*Assumptions!$F$72</f>
        <v>500</v>
      </c>
      <c r="W48" s="60" t="n">
        <f aca="false">W44*Assumptions!$F$72</f>
        <v>500</v>
      </c>
      <c r="X48" s="60" t="n">
        <f aca="false">X44*Assumptions!$F$72</f>
        <v>500</v>
      </c>
      <c r="Y48" s="60" t="n">
        <f aca="false">Y44*Assumptions!$F$72</f>
        <v>500</v>
      </c>
      <c r="Z48" s="60" t="n">
        <f aca="false">Z44*Assumptions!$F$72</f>
        <v>500</v>
      </c>
      <c r="AA48" s="60" t="n">
        <f aca="false">AA44*Assumptions!$F$72</f>
        <v>500</v>
      </c>
      <c r="AB48" s="38" t="n">
        <f aca="false">SUM(D48:O48)</f>
        <v>0</v>
      </c>
      <c r="AC48" s="38" t="n">
        <f aca="false">SUM(P48:AA48)</f>
        <v>6000</v>
      </c>
    </row>
    <row r="49" customFormat="false" ht="15" hidden="false" customHeight="false" outlineLevel="0" collapsed="false">
      <c r="A49" s="3" t="s">
        <v>491</v>
      </c>
      <c r="B49" s="3" t="s">
        <v>62</v>
      </c>
      <c r="D49" s="60" t="n">
        <f aca="false">D44*Assumptions!$F$73</f>
        <v>0</v>
      </c>
      <c r="E49" s="60" t="n">
        <f aca="false">E44*Assumptions!$F$73</f>
        <v>0</v>
      </c>
      <c r="F49" s="60" t="n">
        <f aca="false">F44*Assumptions!$F$73</f>
        <v>0</v>
      </c>
      <c r="G49" s="60" t="n">
        <f aca="false">G44*Assumptions!$F$73</f>
        <v>0</v>
      </c>
      <c r="H49" s="60" t="n">
        <f aca="false">H44*Assumptions!$F$73</f>
        <v>0</v>
      </c>
      <c r="I49" s="60" t="n">
        <f aca="false">I44*Assumptions!$F$73</f>
        <v>0</v>
      </c>
      <c r="J49" s="60" t="n">
        <f aca="false">J44*Assumptions!$F$73</f>
        <v>0</v>
      </c>
      <c r="K49" s="60" t="n">
        <f aca="false">K44*Assumptions!$F$73</f>
        <v>0</v>
      </c>
      <c r="L49" s="60" t="n">
        <f aca="false">L44*Assumptions!$F$73</f>
        <v>0</v>
      </c>
      <c r="M49" s="60" t="n">
        <f aca="false">M44*Assumptions!$F$73</f>
        <v>0</v>
      </c>
      <c r="N49" s="60" t="n">
        <f aca="false">N44*Assumptions!$F$73</f>
        <v>0</v>
      </c>
      <c r="O49" s="60" t="n">
        <f aca="false">O44*Assumptions!$F$73</f>
        <v>0</v>
      </c>
      <c r="P49" s="60" t="n">
        <f aca="false">P44*Assumptions!$F$73</f>
        <v>300</v>
      </c>
      <c r="Q49" s="60" t="n">
        <f aca="false">Q44*Assumptions!$F$73</f>
        <v>300</v>
      </c>
      <c r="R49" s="60" t="n">
        <f aca="false">R44*Assumptions!$F$73</f>
        <v>300</v>
      </c>
      <c r="S49" s="60" t="n">
        <f aca="false">S44*Assumptions!$F$73</f>
        <v>300</v>
      </c>
      <c r="T49" s="60" t="n">
        <f aca="false">T44*Assumptions!$F$73</f>
        <v>300</v>
      </c>
      <c r="U49" s="60" t="n">
        <f aca="false">U44*Assumptions!$F$73</f>
        <v>300</v>
      </c>
      <c r="V49" s="60" t="n">
        <f aca="false">V44*Assumptions!$F$73</f>
        <v>300</v>
      </c>
      <c r="W49" s="60" t="n">
        <f aca="false">W44*Assumptions!$F$73</f>
        <v>300</v>
      </c>
      <c r="X49" s="60" t="n">
        <f aca="false">X44*Assumptions!$F$73</f>
        <v>300</v>
      </c>
      <c r="Y49" s="60" t="n">
        <f aca="false">Y44*Assumptions!$F$73</f>
        <v>300</v>
      </c>
      <c r="Z49" s="60" t="n">
        <f aca="false">Z44*Assumptions!$F$73</f>
        <v>300</v>
      </c>
      <c r="AA49" s="60" t="n">
        <f aca="false">AA44*Assumptions!$F$73</f>
        <v>300</v>
      </c>
      <c r="AB49" s="38" t="n">
        <f aca="false">SUM(D49:O49)</f>
        <v>0</v>
      </c>
      <c r="AC49" s="38" t="n">
        <f aca="false">SUM(P49:AA49)</f>
        <v>3600</v>
      </c>
    </row>
    <row r="50" customFormat="false" ht="15" hidden="false" customHeight="false" outlineLevel="0" collapsed="false">
      <c r="A50" s="3" t="s">
        <v>492</v>
      </c>
      <c r="B50" s="3" t="s">
        <v>62</v>
      </c>
      <c r="D50" s="60" t="n">
        <f aca="false">D44*Assumptions!$F$74</f>
        <v>0</v>
      </c>
      <c r="E50" s="60" t="n">
        <f aca="false">E44*Assumptions!$F$74</f>
        <v>0</v>
      </c>
      <c r="F50" s="60" t="n">
        <f aca="false">F44*Assumptions!$F$74</f>
        <v>0</v>
      </c>
      <c r="G50" s="60" t="n">
        <f aca="false">G44*Assumptions!$F$74</f>
        <v>0</v>
      </c>
      <c r="H50" s="60" t="n">
        <f aca="false">H44*Assumptions!$F$74</f>
        <v>0</v>
      </c>
      <c r="I50" s="60" t="n">
        <f aca="false">I44*Assumptions!$F$74</f>
        <v>0</v>
      </c>
      <c r="J50" s="60" t="n">
        <f aca="false">J44*Assumptions!$F$74</f>
        <v>0</v>
      </c>
      <c r="K50" s="60" t="n">
        <f aca="false">K44*Assumptions!$F$74</f>
        <v>0</v>
      </c>
      <c r="L50" s="60" t="n">
        <f aca="false">L44*Assumptions!$F$74</f>
        <v>0</v>
      </c>
      <c r="M50" s="60" t="n">
        <f aca="false">M44*Assumptions!$F$74</f>
        <v>0</v>
      </c>
      <c r="N50" s="60" t="n">
        <f aca="false">N44*Assumptions!$F$74</f>
        <v>0</v>
      </c>
      <c r="O50" s="60" t="n">
        <f aca="false">O44*Assumptions!$F$74</f>
        <v>0</v>
      </c>
      <c r="P50" s="60" t="n">
        <f aca="false">P44*Assumptions!$F$74</f>
        <v>200</v>
      </c>
      <c r="Q50" s="60" t="n">
        <f aca="false">Q44*Assumptions!$F$74</f>
        <v>200</v>
      </c>
      <c r="R50" s="60" t="n">
        <f aca="false">R44*Assumptions!$F$74</f>
        <v>200</v>
      </c>
      <c r="S50" s="60" t="n">
        <f aca="false">S44*Assumptions!$F$74</f>
        <v>200</v>
      </c>
      <c r="T50" s="60" t="n">
        <f aca="false">T44*Assumptions!$F$74</f>
        <v>200</v>
      </c>
      <c r="U50" s="60" t="n">
        <f aca="false">U44*Assumptions!$F$74</f>
        <v>200</v>
      </c>
      <c r="V50" s="60" t="n">
        <f aca="false">V44*Assumptions!$F$74</f>
        <v>200</v>
      </c>
      <c r="W50" s="60" t="n">
        <f aca="false">W44*Assumptions!$F$74</f>
        <v>200</v>
      </c>
      <c r="X50" s="60" t="n">
        <f aca="false">X44*Assumptions!$F$74</f>
        <v>200</v>
      </c>
      <c r="Y50" s="60" t="n">
        <f aca="false">Y44*Assumptions!$F$74</f>
        <v>200</v>
      </c>
      <c r="Z50" s="60" t="n">
        <f aca="false">Z44*Assumptions!$F$74</f>
        <v>200</v>
      </c>
      <c r="AA50" s="60" t="n">
        <f aca="false">AA44*Assumptions!$F$74</f>
        <v>200</v>
      </c>
      <c r="AB50" s="38" t="n">
        <f aca="false">SUM(D50:O50)</f>
        <v>0</v>
      </c>
      <c r="AC50" s="38" t="n">
        <f aca="false">SUM(P50:AA50)</f>
        <v>2400</v>
      </c>
    </row>
    <row r="51" customFormat="false" ht="15" hidden="false" customHeight="false" outlineLevel="0" collapsed="false">
      <c r="A51" s="9" t="s">
        <v>493</v>
      </c>
      <c r="B51" s="3" t="s">
        <v>62</v>
      </c>
      <c r="D51" s="29" t="n">
        <f aca="false">D44-D46-D47-D48-D49-D50</f>
        <v>0</v>
      </c>
      <c r="E51" s="29" t="n">
        <f aca="false">E44-E46-E47-E48-E49-E50</f>
        <v>0</v>
      </c>
      <c r="F51" s="29" t="n">
        <f aca="false">F44-F46-F47-F48-F49-F50</f>
        <v>0</v>
      </c>
      <c r="G51" s="29" t="n">
        <f aca="false">G44-G46-G47-G48-G49-G50</f>
        <v>0</v>
      </c>
      <c r="H51" s="29" t="n">
        <f aca="false">H44-H46-H47-H48-H49-H50</f>
        <v>0</v>
      </c>
      <c r="I51" s="29" t="n">
        <f aca="false">I44-I46-I47-I48-I49-I50</f>
        <v>0</v>
      </c>
      <c r="J51" s="29" t="n">
        <f aca="false">J44-J46-J47-J48-J49-J50</f>
        <v>0</v>
      </c>
      <c r="K51" s="29" t="n">
        <f aca="false">K44-K46-K47-K48-K49-K50</f>
        <v>0</v>
      </c>
      <c r="L51" s="29" t="n">
        <f aca="false">L44-L46-L47-L48-L49-L50</f>
        <v>0</v>
      </c>
      <c r="M51" s="29" t="n">
        <f aca="false">M44-M46-M47-M48-M49-M50</f>
        <v>0</v>
      </c>
      <c r="N51" s="29" t="n">
        <f aca="false">N44-N46-N47-N48-N49-N50</f>
        <v>0</v>
      </c>
      <c r="O51" s="29" t="n">
        <f aca="false">O44-O46-O47-O48-O49-O50</f>
        <v>0</v>
      </c>
      <c r="P51" s="29" t="n">
        <f aca="false">P44-P46-P47-P48-P49-P50</f>
        <v>1079.36507936508</v>
      </c>
      <c r="Q51" s="29" t="n">
        <f aca="false">Q44-Q46-Q47-Q48-Q49-Q50</f>
        <v>1079.36507936508</v>
      </c>
      <c r="R51" s="29" t="n">
        <f aca="false">R44-R46-R47-R48-R49-R50</f>
        <v>1079.36507936508</v>
      </c>
      <c r="S51" s="29" t="n">
        <f aca="false">S44-S46-S47-S48-S49-S50</f>
        <v>1079.36507936508</v>
      </c>
      <c r="T51" s="29" t="n">
        <f aca="false">T44-T46-T47-T48-T49-T50</f>
        <v>1079.36507936508</v>
      </c>
      <c r="U51" s="29" t="n">
        <f aca="false">U44-U46-U47-U48-U49-U50</f>
        <v>1079.36507936508</v>
      </c>
      <c r="V51" s="29" t="n">
        <f aca="false">V44-V46-V47-V48-V49-V50</f>
        <v>1329.36507936508</v>
      </c>
      <c r="W51" s="29" t="n">
        <f aca="false">W44-W46-W47-W48-W49-W50</f>
        <v>1329.36507936508</v>
      </c>
      <c r="X51" s="29" t="n">
        <f aca="false">X44-X46-X47-X48-X49-X50</f>
        <v>1329.36507936508</v>
      </c>
      <c r="Y51" s="29" t="n">
        <f aca="false">Y44-Y46-Y47-Y48-Y49-Y50</f>
        <v>1329.36507936508</v>
      </c>
      <c r="Z51" s="29" t="n">
        <f aca="false">Z44-Z46-Z47-Z48-Z49-Z50</f>
        <v>1329.36507936508</v>
      </c>
      <c r="AA51" s="29" t="n">
        <f aca="false">AA44-AA46-AA47-AA48-AA49-AA50</f>
        <v>1329.36507936508</v>
      </c>
      <c r="AB51" s="29" t="n">
        <f aca="false">SUM(D51:O51)</f>
        <v>0</v>
      </c>
      <c r="AC51" s="29" t="n">
        <f aca="false">SUM(P51:AA51)</f>
        <v>14452.380952381</v>
      </c>
    </row>
    <row r="53" customFormat="false" ht="15" hidden="false" customHeight="false" outlineLevel="0" collapsed="false">
      <c r="A53" s="9" t="s">
        <v>494</v>
      </c>
    </row>
    <row r="54" customFormat="false" ht="15" hidden="false" customHeight="false" outlineLevel="0" collapsed="false">
      <c r="A54" s="9" t="s">
        <v>495</v>
      </c>
      <c r="B54" s="3" t="s">
        <v>62</v>
      </c>
      <c r="D54" s="29" t="n">
        <f aca="false">D9+D36+D44</f>
        <v>6300</v>
      </c>
      <c r="E54" s="29" t="n">
        <f aca="false">E9+E36+E44</f>
        <v>10080</v>
      </c>
      <c r="F54" s="29" t="n">
        <f aca="false">F9+F36+F44</f>
        <v>15120</v>
      </c>
      <c r="G54" s="29" t="n">
        <f aca="false">G9+G36+G44</f>
        <v>21000</v>
      </c>
      <c r="H54" s="29" t="n">
        <f aca="false">H9+H36+H44</f>
        <v>27300</v>
      </c>
      <c r="I54" s="29" t="n">
        <f aca="false">I9+I36+I44</f>
        <v>34440</v>
      </c>
      <c r="J54" s="29" t="n">
        <f aca="false">J9+J36+J44</f>
        <v>42000</v>
      </c>
      <c r="K54" s="29" t="n">
        <f aca="false">K9+K36+K44</f>
        <v>50400</v>
      </c>
      <c r="L54" s="29" t="n">
        <f aca="false">L9+L36+L44</f>
        <v>58800</v>
      </c>
      <c r="M54" s="29" t="n">
        <f aca="false">M9+M36+M44</f>
        <v>67200</v>
      </c>
      <c r="N54" s="29" t="n">
        <f aca="false">N9+N36+N44</f>
        <v>75600</v>
      </c>
      <c r="O54" s="29" t="n">
        <f aca="false">O9+O36+O44</f>
        <v>86100</v>
      </c>
      <c r="P54" s="29" t="n">
        <f aca="false">P9+P36+P44</f>
        <v>112060</v>
      </c>
      <c r="Q54" s="29" t="n">
        <f aca="false">Q9+Q36+Q44</f>
        <v>121132</v>
      </c>
      <c r="R54" s="29" t="n">
        <f aca="false">R9+R36+R44</f>
        <v>127936</v>
      </c>
      <c r="S54" s="29" t="n">
        <f aca="false">S9+S36+S44</f>
        <v>134740</v>
      </c>
      <c r="T54" s="29" t="n">
        <f aca="false">T9+T36+T44</f>
        <v>141544</v>
      </c>
      <c r="U54" s="29" t="n">
        <f aca="false">U9+U36+U44</f>
        <v>148348</v>
      </c>
      <c r="V54" s="29" t="n">
        <f aca="false">V9+V36+V44</f>
        <v>152884</v>
      </c>
      <c r="W54" s="29" t="n">
        <f aca="false">W9+W36+W44</f>
        <v>157420</v>
      </c>
      <c r="X54" s="29" t="n">
        <f aca="false">X9+X36+X44</f>
        <v>161956</v>
      </c>
      <c r="Y54" s="29" t="n">
        <f aca="false">Y9+Y36+Y44</f>
        <v>166492</v>
      </c>
      <c r="Z54" s="29" t="n">
        <f aca="false">Z9+Z36+Z44</f>
        <v>171028</v>
      </c>
      <c r="AA54" s="29" t="n">
        <f aca="false">AA9+AA36+AA44</f>
        <v>175564</v>
      </c>
      <c r="AB54" s="29" t="n">
        <f aca="false">SUM(D54:O54)</f>
        <v>494340</v>
      </c>
      <c r="AC54" s="29" t="n">
        <f aca="false">SUM(P54:AA54)</f>
        <v>1771104</v>
      </c>
    </row>
    <row r="55" customFormat="false" ht="15" hidden="false" customHeight="false" outlineLevel="0" collapsed="false">
      <c r="A55" s="9" t="s">
        <v>496</v>
      </c>
      <c r="B55" s="3" t="s">
        <v>62</v>
      </c>
      <c r="D55" s="29" t="n">
        <f aca="false">D21+D43+D51</f>
        <v>-10458.99</v>
      </c>
      <c r="E55" s="29" t="n">
        <f aca="false">E21+E43+E51</f>
        <v>-1000.39</v>
      </c>
      <c r="F55" s="29" t="n">
        <f aca="false">F21+F43+F51</f>
        <v>-1055.59</v>
      </c>
      <c r="G55" s="29" t="n">
        <f aca="false">G21+G43+G51</f>
        <v>560.01</v>
      </c>
      <c r="H55" s="29" t="n">
        <f aca="false">H21+H43+H51</f>
        <v>995.01</v>
      </c>
      <c r="I55" s="29" t="n">
        <f aca="false">I21+I43+I51</f>
        <v>1488.01</v>
      </c>
      <c r="J55" s="29" t="n">
        <f aca="false">J21+J43+J51</f>
        <v>4950.01</v>
      </c>
      <c r="K55" s="29" t="n">
        <f aca="false">K21+K43+K51</f>
        <v>6118.01</v>
      </c>
      <c r="L55" s="29" t="n">
        <f aca="false">L21+L43+L51</f>
        <v>7286.01</v>
      </c>
      <c r="M55" s="29" t="n">
        <f aca="false">M21+M43+M51</f>
        <v>8454.01</v>
      </c>
      <c r="N55" s="29" t="n">
        <f aca="false">N21+N43+N51</f>
        <v>9622.01</v>
      </c>
      <c r="O55" s="29" t="n">
        <f aca="false">O21+O43+O51</f>
        <v>11082.01</v>
      </c>
      <c r="P55" s="29" t="n">
        <f aca="false">P21+P43+P51</f>
        <v>19038.9750793651</v>
      </c>
      <c r="Q55" s="29" t="n">
        <f aca="false">Q21+Q43+Q51</f>
        <v>20714.4950793651</v>
      </c>
      <c r="R55" s="29" t="n">
        <f aca="false">R21+R43+R51</f>
        <v>21971.1350793651</v>
      </c>
      <c r="S55" s="29" t="n">
        <f aca="false">S21+S43+S51</f>
        <v>23227.7750793651</v>
      </c>
      <c r="T55" s="29" t="n">
        <f aca="false">T21+T43+T51</f>
        <v>24484.4150793651</v>
      </c>
      <c r="U55" s="29" t="n">
        <f aca="false">U21+U43+U51</f>
        <v>25741.0550793651</v>
      </c>
      <c r="V55" s="29" t="n">
        <f aca="false">V21+V43+V51</f>
        <v>28037.1584126984</v>
      </c>
      <c r="W55" s="29" t="n">
        <f aca="false">W21+W43+W51</f>
        <v>28947.4584126984</v>
      </c>
      <c r="X55" s="29" t="n">
        <f aca="false">X21+X43+X51</f>
        <v>29857.7584126984</v>
      </c>
      <c r="Y55" s="29" t="n">
        <f aca="false">Y21+Y43+Y51</f>
        <v>30768.0584126984</v>
      </c>
      <c r="Z55" s="29" t="n">
        <f aca="false">Z21+Z43+Z51</f>
        <v>31678.3584126984</v>
      </c>
      <c r="AA55" s="29" t="n">
        <f aca="false">AA21+AA43+AA51</f>
        <v>32588.6584126984</v>
      </c>
      <c r="AB55" s="29" t="n">
        <f aca="false">SUM(D55:O55)</f>
        <v>38040.12</v>
      </c>
      <c r="AC55" s="29" t="n">
        <f aca="false">SUM(P55:AA55)</f>
        <v>317055.300952381</v>
      </c>
    </row>
    <row r="56" customFormat="false" ht="15" hidden="false" customHeight="false" outlineLevel="0" collapsed="false">
      <c r="A56" s="3" t="s">
        <v>497</v>
      </c>
      <c r="B56" s="3" t="s">
        <v>62</v>
      </c>
      <c r="D56" s="38" t="n">
        <f aca="false">D55</f>
        <v>-10458.99</v>
      </c>
      <c r="E56" s="38" t="n">
        <f aca="false">D56+E55</f>
        <v>-11459.38</v>
      </c>
      <c r="F56" s="38" t="n">
        <f aca="false">E56+F55</f>
        <v>-12514.97</v>
      </c>
      <c r="G56" s="38" t="n">
        <f aca="false">F56+G55</f>
        <v>-11954.96</v>
      </c>
      <c r="H56" s="38" t="n">
        <f aca="false">G56+H55</f>
        <v>-10959.95</v>
      </c>
      <c r="I56" s="38" t="n">
        <f aca="false">H56+I55</f>
        <v>-9471.94</v>
      </c>
      <c r="J56" s="38" t="n">
        <f aca="false">I56+J55</f>
        <v>-4521.93</v>
      </c>
      <c r="K56" s="38" t="n">
        <f aca="false">J56+K55</f>
        <v>1596.08</v>
      </c>
      <c r="L56" s="38" t="n">
        <f aca="false">K56+L55</f>
        <v>8882.09</v>
      </c>
      <c r="M56" s="38" t="n">
        <f aca="false">L56+M55</f>
        <v>17336.1</v>
      </c>
      <c r="N56" s="38" t="n">
        <f aca="false">M56+N55</f>
        <v>26958.11</v>
      </c>
      <c r="O56" s="38" t="n">
        <f aca="false">N56+O55</f>
        <v>38040.12</v>
      </c>
      <c r="P56" s="38" t="n">
        <f aca="false">O56+P55</f>
        <v>57079.0950793651</v>
      </c>
      <c r="Q56" s="38" t="n">
        <f aca="false">P56+Q55</f>
        <v>77793.5901587302</v>
      </c>
      <c r="R56" s="38" t="n">
        <f aca="false">Q56+R55</f>
        <v>99764.7252380952</v>
      </c>
      <c r="S56" s="38" t="n">
        <f aca="false">R56+S55</f>
        <v>122992.50031746</v>
      </c>
      <c r="T56" s="38" t="n">
        <f aca="false">S56+T55</f>
        <v>147476.915396825</v>
      </c>
      <c r="U56" s="38" t="n">
        <f aca="false">T56+U55</f>
        <v>173217.970476191</v>
      </c>
      <c r="V56" s="38" t="n">
        <f aca="false">U56+V55</f>
        <v>201255.128888889</v>
      </c>
      <c r="W56" s="38" t="n">
        <f aca="false">V56+W55</f>
        <v>230202.587301587</v>
      </c>
      <c r="X56" s="38" t="n">
        <f aca="false">W56+X55</f>
        <v>260060.345714286</v>
      </c>
      <c r="Y56" s="38" t="n">
        <f aca="false">X56+Y55</f>
        <v>290828.404126984</v>
      </c>
      <c r="Z56" s="38" t="n">
        <f aca="false">Y56+Z55</f>
        <v>322506.762539683</v>
      </c>
      <c r="AA56" s="38" t="n">
        <f aca="false">Z56+AA55</f>
        <v>355095.420952381</v>
      </c>
      <c r="AB56" s="38" t="n">
        <f aca="false">O56</f>
        <v>38040.12</v>
      </c>
      <c r="AC56" s="38" t="n">
        <f aca="false">AA56</f>
        <v>355095.420952381</v>
      </c>
    </row>
    <row r="57" customFormat="false" ht="15" hidden="false" customHeight="false" outlineLevel="0" collapsed="false">
      <c r="A57" s="3" t="s">
        <v>498</v>
      </c>
      <c r="B57" s="3" t="s">
        <v>66</v>
      </c>
      <c r="D57" s="34" t="n">
        <f aca="false">IF(D54=0,0,D55/D54)</f>
        <v>-1.66015714285714</v>
      </c>
      <c r="E57" s="34" t="n">
        <f aca="false">IF(E54=0,0,E55/E54)</f>
        <v>-0.0992450396825396</v>
      </c>
      <c r="F57" s="34" t="n">
        <f aca="false">IF(F54=0,0,F55/F54)</f>
        <v>-0.0698141534391535</v>
      </c>
      <c r="G57" s="34" t="n">
        <f aca="false">IF(G54=0,0,G55/G54)</f>
        <v>0.0266671428571429</v>
      </c>
      <c r="H57" s="34" t="n">
        <f aca="false">IF(H54=0,0,H55/H54)</f>
        <v>0.0364472527472527</v>
      </c>
      <c r="I57" s="34" t="n">
        <f aca="false">IF(I54=0,0,I55/I54)</f>
        <v>0.0432058652729384</v>
      </c>
      <c r="J57" s="34" t="n">
        <f aca="false">IF(J54=0,0,J55/J54)</f>
        <v>0.117857380952381</v>
      </c>
      <c r="K57" s="34" t="n">
        <f aca="false">IF(K54=0,0,K55/K54)</f>
        <v>0.121389087301587</v>
      </c>
      <c r="L57" s="34" t="n">
        <f aca="false">IF(L54=0,0,L55/L54)</f>
        <v>0.123911734693878</v>
      </c>
      <c r="M57" s="34" t="n">
        <f aca="false">IF(M54=0,0,M55/M54)</f>
        <v>0.125803720238095</v>
      </c>
      <c r="N57" s="34" t="n">
        <f aca="false">IF(N54=0,0,N55/N54)</f>
        <v>0.127275264550265</v>
      </c>
      <c r="O57" s="34" t="n">
        <f aca="false">IF(O54=0,0,O55/O54)</f>
        <v>0.128710917537747</v>
      </c>
      <c r="P57" s="34" t="n">
        <f aca="false">IF(P54=0,0,P55/P54)</f>
        <v>0.169899831156212</v>
      </c>
      <c r="Q57" s="34" t="n">
        <f aca="false">IF(Q54=0,0,Q55/Q54)</f>
        <v>0.171007620441874</v>
      </c>
      <c r="R57" s="34" t="n">
        <f aca="false">IF(R54=0,0,R55/R54)</f>
        <v>0.171735360487784</v>
      </c>
      <c r="S57" s="34" t="n">
        <f aca="false">IF(S54=0,0,S55/S54)</f>
        <v>0.172389602785847</v>
      </c>
      <c r="T57" s="34" t="n">
        <f aca="false">IF(T54=0,0,T55/T54)</f>
        <v>0.172980946415002</v>
      </c>
      <c r="U57" s="34" t="n">
        <f aca="false">IF(U54=0,0,U55/U54)</f>
        <v>0.173518045941739</v>
      </c>
      <c r="V57" s="34" t="n">
        <f aca="false">IF(V54=0,0,V55/V54)</f>
        <v>0.183388440992507</v>
      </c>
      <c r="W57" s="34" t="n">
        <f aca="false">IF(W54=0,0,W55/W54)</f>
        <v>0.183886789561037</v>
      </c>
      <c r="X57" s="34" t="n">
        <f aca="false">IF(X54=0,0,X55/X54)</f>
        <v>0.18435722302785</v>
      </c>
      <c r="Y57" s="34" t="n">
        <f aca="false">IF(Y54=0,0,Y55/Y54)</f>
        <v>0.184802022996291</v>
      </c>
      <c r="Z57" s="34" t="n">
        <f aca="false">IF(Z54=0,0,Z55/Z54)</f>
        <v>0.185223229019216</v>
      </c>
      <c r="AA57" s="34" t="n">
        <f aca="false">IF(AA54=0,0,AA55/AA54)</f>
        <v>0.185622669867959</v>
      </c>
      <c r="AB57" s="34" t="n">
        <f aca="false">IF(AB54=0,0,AB55/AB54)</f>
        <v>0.076951329044787</v>
      </c>
      <c r="AC57" s="34" t="n">
        <f aca="false">IF(AC54=0,0,AC55/AC54)</f>
        <v>0.179015631466239</v>
      </c>
    </row>
    <row r="59" customFormat="false" ht="15" hidden="false" customHeight="false" outlineLevel="0" collapsed="false">
      <c r="A59" s="5" t="s">
        <v>499</v>
      </c>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customFormat="false" ht="15" hidden="false" customHeight="false" outlineLevel="0" collapsed="false">
      <c r="A60" s="3" t="s">
        <v>500</v>
      </c>
      <c r="C60" s="63" t="n">
        <f aca="false">SUM(D9:U9)</f>
        <v>1166340</v>
      </c>
    </row>
    <row r="61" customFormat="false" ht="15" hidden="false" customHeight="false" outlineLevel="0" collapsed="false">
      <c r="A61" s="3" t="s">
        <v>501</v>
      </c>
      <c r="C61" s="63" t="n">
        <f aca="false">SUM(D21:U21)</f>
        <v>153020.18</v>
      </c>
    </row>
    <row r="62" customFormat="false" ht="15" hidden="false" customHeight="false" outlineLevel="0" collapsed="false">
      <c r="A62" s="3" t="s">
        <v>502</v>
      </c>
      <c r="C62" s="56" t="n">
        <f aca="false">IF(C60=0,0,C61/C60)</f>
        <v>0.13119688941475</v>
      </c>
    </row>
    <row r="63" customFormat="false" ht="15" hidden="false" customHeight="false" outlineLevel="0" collapsed="false">
      <c r="A63" s="3" t="s">
        <v>503</v>
      </c>
      <c r="C63" s="64" t="n">
        <f aca="false">IFERROR(MATCH(1,D27:U27,0),"none")</f>
        <v>8</v>
      </c>
    </row>
    <row r="64" customFormat="false" ht="15" hidden="false" customHeight="false" outlineLevel="0" collapsed="false">
      <c r="A64" s="3" t="s">
        <v>504</v>
      </c>
      <c r="C64" s="63" t="n">
        <f aca="false">U9*12</f>
        <v>1537200</v>
      </c>
    </row>
    <row r="65" customFormat="false" ht="15" hidden="false" customHeight="false" outlineLevel="0" collapsed="false">
      <c r="A65" s="3" t="s">
        <v>505</v>
      </c>
      <c r="C65" s="56" t="n">
        <f aca="false">U23</f>
        <v>0.1721</v>
      </c>
    </row>
    <row r="66" customFormat="false" ht="15" hidden="false" customHeight="false" outlineLevel="0" collapsed="false">
      <c r="A66" s="3" t="s">
        <v>506</v>
      </c>
      <c r="C66" s="65" t="n">
        <f aca="false">SUM(D7:U7)</f>
        <v>27770</v>
      </c>
    </row>
    <row r="67" customFormat="false" ht="15" hidden="false" customHeight="false" outlineLevel="0" collapsed="false">
      <c r="A67" s="3" t="s">
        <v>507</v>
      </c>
      <c r="C67" s="64" t="n">
        <f aca="false">IFERROR(MATCH(1,D27:AA27,0),"none")</f>
        <v>8</v>
      </c>
    </row>
    <row r="68" customFormat="false" ht="15" hidden="false" customHeight="false" outlineLevel="0" collapsed="false">
      <c r="A68" s="3" t="s">
        <v>508</v>
      </c>
      <c r="C68" s="63" t="n">
        <f aca="false">SUM(D54:AA54)</f>
        <v>2265444</v>
      </c>
    </row>
    <row r="69" customFormat="false" ht="15" hidden="false" customHeight="false" outlineLevel="0" collapsed="false">
      <c r="A69" s="3" t="s">
        <v>509</v>
      </c>
      <c r="C69" s="63" t="n">
        <f aca="false">SUM(D55:AA55)</f>
        <v>355095.420952381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2" min="2" style="1" width="12"/>
    <col collapsed="false" customWidth="true" hidden="false" outlineLevel="0" max="7" min="3" style="1" width="15"/>
    <col collapsed="false" customWidth="true" hidden="false" outlineLevel="0" max="8" min="8" style="1" width="70"/>
  </cols>
  <sheetData>
    <row r="1" customFormat="false" ht="17.35" hidden="false" customHeight="false" outlineLevel="0" collapsed="false">
      <c r="A1" s="11" t="s">
        <v>510</v>
      </c>
    </row>
    <row r="2" customFormat="false" ht="15" hidden="false" customHeight="false" outlineLevel="0" collapsed="false">
      <c r="A2" s="3" t="str">
        <f aca="false">"Active scenario: "&amp;ScenarioName&amp;". Years 1 and 2 are sums of the monthly tab (check rows show 0). Years 3 to 5 come from the Year 3 to 5 drivers on Assumptions."</f>
        <v>Active scenario: Medium. Years 1 and 2 are sums of the monthly tab (check rows show 0). Years 3 to 5 come from the Year 3 to 5 drivers on Assumptions.</v>
      </c>
    </row>
    <row r="3" customFormat="false" ht="15" hidden="false" customHeight="false" outlineLevel="0" collapsed="false">
      <c r="A3" s="5" t="s">
        <v>511</v>
      </c>
      <c r="B3" s="15"/>
      <c r="C3" s="15"/>
      <c r="D3" s="15"/>
      <c r="E3" s="15"/>
      <c r="F3" s="15"/>
      <c r="G3" s="15"/>
      <c r="H3" s="15"/>
    </row>
    <row r="4" customFormat="false" ht="15" hidden="false" customHeight="false" outlineLevel="0" collapsed="false">
      <c r="A4" s="14" t="s">
        <v>444</v>
      </c>
      <c r="B4" s="14" t="s">
        <v>53</v>
      </c>
      <c r="C4" s="14" t="s">
        <v>446</v>
      </c>
      <c r="D4" s="14" t="s">
        <v>447</v>
      </c>
      <c r="E4" s="14" t="s">
        <v>512</v>
      </c>
      <c r="F4" s="14" t="s">
        <v>513</v>
      </c>
      <c r="G4" s="14" t="s">
        <v>514</v>
      </c>
      <c r="H4" s="14" t="s">
        <v>58</v>
      </c>
    </row>
    <row r="5" customFormat="false" ht="15" hidden="false" customHeight="false" outlineLevel="0" collapsed="false">
      <c r="A5" s="9" t="s">
        <v>515</v>
      </c>
    </row>
    <row r="6" customFormat="false" ht="15" hidden="false" customHeight="false" outlineLevel="0" collapsed="false">
      <c r="A6" s="3" t="s">
        <v>516</v>
      </c>
      <c r="B6" s="3" t="s">
        <v>95</v>
      </c>
      <c r="C6" s="62" t="n">
        <f aca="false">'Monthly PL Y1 Y2'!AB7</f>
        <v>11770</v>
      </c>
      <c r="D6" s="62" t="n">
        <f aca="false">'Monthly PL Y1 Y2'!AC7</f>
        <v>36400</v>
      </c>
      <c r="E6" s="62" t="n">
        <f aca="false">D6*(1+Assumptions!$F$37)</f>
        <v>47320</v>
      </c>
      <c r="F6" s="62" t="n">
        <f aca="false">E6*(1+Assumptions!$F$38)</f>
        <v>56784</v>
      </c>
      <c r="G6" s="62" t="n">
        <f aca="false">F6*(1+Assumptions!$F$39)</f>
        <v>63598.08</v>
      </c>
      <c r="H6" s="3" t="s">
        <v>517</v>
      </c>
    </row>
    <row r="7" customFormat="false" ht="15" hidden="false" customHeight="false" outlineLevel="0" collapsed="false">
      <c r="A7" s="3" t="s">
        <v>518</v>
      </c>
      <c r="B7" s="3" t="s">
        <v>454</v>
      </c>
      <c r="C7" s="35" t="n">
        <f aca="false">'Monthly PL Y1 Y2'!AB8</f>
        <v>42</v>
      </c>
      <c r="D7" s="35" t="n">
        <f aca="false">'Monthly PL Y1 Y2'!AC8</f>
        <v>42</v>
      </c>
      <c r="E7" s="35" t="n">
        <f aca="false">D7*(1+Assumptions!$F$40)*IF(3=3,1+Assumptions!$F$41,1)</f>
        <v>41.5296</v>
      </c>
      <c r="F7" s="35" t="n">
        <f aca="false">E7*(1+Assumptions!$F$40)*IF(4=3,1+Assumptions!$F$41,1)</f>
        <v>39.868416</v>
      </c>
      <c r="G7" s="35" t="n">
        <f aca="false">F7*(1+Assumptions!$F$40)*IF(5=3,1+Assumptions!$F$41,1)</f>
        <v>38.27367936</v>
      </c>
      <c r="H7" s="3"/>
    </row>
    <row r="8" customFormat="false" ht="15" hidden="false" customHeight="false" outlineLevel="0" collapsed="false">
      <c r="A8" s="3" t="s">
        <v>519</v>
      </c>
      <c r="B8" s="3" t="s">
        <v>66</v>
      </c>
      <c r="C8" s="54" t="n">
        <f aca="false">'Monthly PL Y1 Y2'!AB30</f>
        <v>0.38</v>
      </c>
      <c r="D8" s="54" t="n">
        <f aca="false">'Monthly PL Y1 Y2'!AC30</f>
        <v>0.371593406593407</v>
      </c>
      <c r="E8" s="54" t="n">
        <f aca="false">LandedPctActive+Assumptions!$F$34</f>
        <v>0.365</v>
      </c>
      <c r="F8" s="54" t="n">
        <f aca="false">LandedPctActive+Assumptions!$F$35</f>
        <v>0.37</v>
      </c>
      <c r="G8" s="54" t="n">
        <f aca="false">LandedPctActive+Assumptions!$F$36</f>
        <v>0.375</v>
      </c>
      <c r="H8" s="3"/>
    </row>
    <row r="9" customFormat="false" ht="15" hidden="false" customHeight="false" outlineLevel="0" collapsed="false">
      <c r="A9" s="3" t="s">
        <v>520</v>
      </c>
      <c r="B9" s="3" t="s">
        <v>66</v>
      </c>
      <c r="C9" s="54" t="n">
        <f aca="false">'Monthly PL Y1 Y2'!AB33</f>
        <v>0.171274426508071</v>
      </c>
      <c r="D9" s="54" t="n">
        <f aca="false">'Monthly PL Y1 Y2'!AC33</f>
        <v>0.11</v>
      </c>
      <c r="E9" s="54" t="n">
        <f aca="false">Assumptions!$F$42</f>
        <v>0.115</v>
      </c>
      <c r="F9" s="54" t="n">
        <f aca="false">Assumptions!$F$43</f>
        <v>0.115</v>
      </c>
      <c r="G9" s="54" t="n">
        <f aca="false">Assumptions!$F$44</f>
        <v>0.115</v>
      </c>
      <c r="H9" s="3"/>
    </row>
    <row r="10" customFormat="false" ht="15" hidden="false" customHeight="false" outlineLevel="0" collapsed="false">
      <c r="A10" s="3" t="s">
        <v>521</v>
      </c>
      <c r="B10" s="3" t="s">
        <v>66</v>
      </c>
      <c r="C10" s="54" t="n">
        <f aca="false">'Monthly PL Y1 Y2'!AB32</f>
        <v>0.03</v>
      </c>
      <c r="D10" s="54" t="n">
        <f aca="false">'Monthly PL Y1 Y2'!AC32</f>
        <v>0.0271978021978022</v>
      </c>
      <c r="E10" s="54" t="n">
        <f aca="false">Assumptions!$F$31</f>
        <v>0.025</v>
      </c>
      <c r="F10" s="54" t="n">
        <f aca="false">Assumptions!$F$31</f>
        <v>0.025</v>
      </c>
      <c r="G10" s="54" t="n">
        <f aca="false">Assumptions!$F$31</f>
        <v>0.025</v>
      </c>
      <c r="H10" s="3"/>
    </row>
    <row r="11" customFormat="false" ht="15" hidden="false" customHeight="false" outlineLevel="0" collapsed="false">
      <c r="A11" s="3" t="s">
        <v>522</v>
      </c>
      <c r="B11" s="3" t="s">
        <v>454</v>
      </c>
      <c r="C11" s="35" t="n">
        <f aca="false">'Monthly PL Y1 Y2'!AB31</f>
        <v>5.5</v>
      </c>
      <c r="D11" s="35" t="n">
        <f aca="false">'Monthly PL Y1 Y2'!AC31</f>
        <v>5.59247252747253</v>
      </c>
      <c r="E11" s="35" t="n">
        <f aca="false">Assumptions!$F$20*(1+Assumptions!$F$32)^(3-1)</f>
        <v>5.83495</v>
      </c>
      <c r="F11" s="35" t="n">
        <f aca="false">Assumptions!$F$20*(1+Assumptions!$F$32)^(4-1)</f>
        <v>6.0099985</v>
      </c>
      <c r="G11" s="35" t="n">
        <f aca="false">Assumptions!$F$20*(1+Assumptions!$F$32)^(5-1)</f>
        <v>6.190298455</v>
      </c>
      <c r="H11" s="3"/>
    </row>
    <row r="13" customFormat="false" ht="15" hidden="false" customHeight="false" outlineLevel="0" collapsed="false">
      <c r="A13" s="9" t="s">
        <v>523</v>
      </c>
    </row>
    <row r="14" customFormat="false" ht="15" hidden="false" customHeight="false" outlineLevel="0" collapsed="false">
      <c r="A14" s="3" t="s">
        <v>524</v>
      </c>
      <c r="B14" s="3" t="s">
        <v>95</v>
      </c>
      <c r="C14" s="62" t="n">
        <f aca="false">'Monthly PL Y1 Y2'!AB7</f>
        <v>11770</v>
      </c>
      <c r="D14" s="62" t="n">
        <f aca="false">'Monthly PL Y1 Y2'!AC7</f>
        <v>36400</v>
      </c>
      <c r="E14" s="31" t="n">
        <f aca="false">E6</f>
        <v>47320</v>
      </c>
      <c r="F14" s="31" t="n">
        <f aca="false">F6</f>
        <v>56784</v>
      </c>
      <c r="G14" s="31" t="n">
        <f aca="false">G6</f>
        <v>63598.08</v>
      </c>
      <c r="H14" s="3"/>
    </row>
    <row r="15" customFormat="false" ht="15" hidden="false" customHeight="false" outlineLevel="0" collapsed="false">
      <c r="A15" s="9" t="s">
        <v>455</v>
      </c>
      <c r="B15" s="3" t="s">
        <v>62</v>
      </c>
      <c r="C15" s="61" t="n">
        <f aca="false">'Monthly PL Y1 Y2'!AB9</f>
        <v>494340</v>
      </c>
      <c r="D15" s="61" t="n">
        <f aca="false">'Monthly PL Y1 Y2'!AC9</f>
        <v>1528800</v>
      </c>
      <c r="E15" s="29" t="n">
        <f aca="false">E14*E7</f>
        <v>1965180.672</v>
      </c>
      <c r="F15" s="29" t="n">
        <f aca="false">F14*F7</f>
        <v>2263888.134144</v>
      </c>
      <c r="G15" s="29" t="n">
        <f aca="false">G14*G7</f>
        <v>2434132.52183163</v>
      </c>
      <c r="H15" s="3"/>
    </row>
    <row r="16" customFormat="false" ht="15" hidden="false" customHeight="false" outlineLevel="0" collapsed="false">
      <c r="A16" s="3" t="s">
        <v>456</v>
      </c>
      <c r="B16" s="3" t="s">
        <v>62</v>
      </c>
      <c r="C16" s="60" t="n">
        <f aca="false">'Monthly PL Y1 Y2'!AB10</f>
        <v>187849.2</v>
      </c>
      <c r="D16" s="60" t="n">
        <f aca="false">'Monthly PL Y1 Y2'!AC10</f>
        <v>568092</v>
      </c>
      <c r="E16" s="38" t="n">
        <f aca="false">E15*E8</f>
        <v>717290.94528</v>
      </c>
      <c r="F16" s="38" t="n">
        <f aca="false">F15*F8</f>
        <v>837638.60963328</v>
      </c>
      <c r="G16" s="38" t="n">
        <f aca="false">G15*G8</f>
        <v>912799.695686861</v>
      </c>
      <c r="H16" s="3"/>
    </row>
    <row r="17" customFormat="false" ht="15" hidden="false" customHeight="false" outlineLevel="0" collapsed="false">
      <c r="A17" s="3" t="s">
        <v>525</v>
      </c>
      <c r="B17" s="3" t="s">
        <v>62</v>
      </c>
      <c r="C17" s="60" t="n">
        <f aca="false">'Monthly PL Y1 Y2'!AB11</f>
        <v>74151</v>
      </c>
      <c r="D17" s="60" t="n">
        <f aca="false">'Monthly PL Y1 Y2'!AC11</f>
        <v>229320</v>
      </c>
      <c r="E17" s="60" t="n">
        <f aca="false">E15*Assumptions!$F$19</f>
        <v>294777.1008</v>
      </c>
      <c r="F17" s="60" t="n">
        <f aca="false">F15*Assumptions!$F$19</f>
        <v>339583.2201216</v>
      </c>
      <c r="G17" s="60" t="n">
        <f aca="false">G15*Assumptions!$F$19</f>
        <v>365119.878274744</v>
      </c>
      <c r="H17" s="3"/>
    </row>
    <row r="18" customFormat="false" ht="15" hidden="false" customHeight="false" outlineLevel="0" collapsed="false">
      <c r="A18" s="3" t="s">
        <v>526</v>
      </c>
      <c r="B18" s="3" t="s">
        <v>62</v>
      </c>
      <c r="C18" s="60" t="n">
        <f aca="false">'Monthly PL Y1 Y2'!AB12</f>
        <v>64735</v>
      </c>
      <c r="D18" s="60" t="n">
        <f aca="false">'Monthly PL Y1 Y2'!AC12</f>
        <v>203566</v>
      </c>
      <c r="E18" s="38" t="n">
        <f aca="false">E14*E11</f>
        <v>276109.834</v>
      </c>
      <c r="F18" s="38" t="n">
        <f aca="false">F14*F11</f>
        <v>341271.754824</v>
      </c>
      <c r="G18" s="38" t="n">
        <f aca="false">G14*G11</f>
        <v>393691.096364967</v>
      </c>
      <c r="H18" s="3"/>
    </row>
    <row r="19" customFormat="false" ht="15" hidden="false" customHeight="false" outlineLevel="0" collapsed="false">
      <c r="A19" s="3" t="s">
        <v>527</v>
      </c>
      <c r="B19" s="3" t="s">
        <v>62</v>
      </c>
      <c r="C19" s="60" t="n">
        <f aca="false">'Monthly PL Y1 Y2'!AB15</f>
        <v>84667.8</v>
      </c>
      <c r="D19" s="60" t="n">
        <f aca="false">'Monthly PL Y1 Y2'!AC15</f>
        <v>168168</v>
      </c>
      <c r="E19" s="38" t="n">
        <f aca="false">E15*E9</f>
        <v>225995.77728</v>
      </c>
      <c r="F19" s="38" t="n">
        <f aca="false">F15*F9</f>
        <v>260347.13542656</v>
      </c>
      <c r="G19" s="38" t="n">
        <f aca="false">G15*G9</f>
        <v>279925.240010637</v>
      </c>
      <c r="H19" s="3"/>
    </row>
    <row r="20" customFormat="false" ht="15" hidden="false" customHeight="false" outlineLevel="0" collapsed="false">
      <c r="A20" s="3" t="s">
        <v>321</v>
      </c>
      <c r="B20" s="3" t="s">
        <v>62</v>
      </c>
      <c r="C20" s="60" t="n">
        <f aca="false">'Monthly PL Y1 Y2'!AB13+'Monthly PL Y1 Y2'!AB14</f>
        <v>24717</v>
      </c>
      <c r="D20" s="60" t="n">
        <f aca="false">'Monthly PL Y1 Y2'!AC13+'Monthly PL Y1 Y2'!AC14</f>
        <v>72156</v>
      </c>
      <c r="E20" s="60" t="n">
        <f aca="false">E15*(E10+Assumptions!$F$21)</f>
        <v>88433.13024</v>
      </c>
      <c r="F20" s="60" t="n">
        <f aca="false">F15*(F10+Assumptions!$F$21)</f>
        <v>101874.96603648</v>
      </c>
      <c r="G20" s="60" t="n">
        <f aca="false">G15*(G10+Assumptions!$F$21)</f>
        <v>109535.963482423</v>
      </c>
      <c r="H20" s="3"/>
    </row>
    <row r="21" customFormat="false" ht="15" hidden="false" customHeight="false" outlineLevel="0" collapsed="false">
      <c r="A21" s="9" t="s">
        <v>528</v>
      </c>
      <c r="B21" s="3" t="s">
        <v>62</v>
      </c>
      <c r="C21" s="29" t="n">
        <f aca="false">C15-C16-C17-C18-C19-C20</f>
        <v>58220</v>
      </c>
      <c r="D21" s="29" t="n">
        <f aca="false">D15-D16-D17-D18-D19-D20</f>
        <v>287498</v>
      </c>
      <c r="E21" s="29" t="n">
        <f aca="false">E15-E16-E17-E18-E19-E20</f>
        <v>362573.8844</v>
      </c>
      <c r="F21" s="29" t="n">
        <f aca="false">F15-F16-F17-F18-F19-F20</f>
        <v>383172.44810208</v>
      </c>
      <c r="G21" s="29" t="n">
        <f aca="false">G15-G16-G17-G18-G19-G20</f>
        <v>373060.648011997</v>
      </c>
      <c r="H21" s="3"/>
    </row>
    <row r="22" customFormat="false" ht="15" hidden="false" customHeight="false" outlineLevel="0" collapsed="false">
      <c r="A22" s="9" t="s">
        <v>529</v>
      </c>
    </row>
    <row r="23" customFormat="false" ht="15" hidden="false" customHeight="false" outlineLevel="0" collapsed="false">
      <c r="A23" s="3" t="s">
        <v>524</v>
      </c>
      <c r="B23" s="3" t="s">
        <v>95</v>
      </c>
      <c r="C23" s="62" t="n">
        <f aca="false">'Monthly PL Y1 Y2'!AB37</f>
        <v>0</v>
      </c>
      <c r="D23" s="62" t="n">
        <f aca="false">'Monthly PL Y1 Y2'!AC37</f>
        <v>2912</v>
      </c>
      <c r="E23" s="31" t="n">
        <f aca="false">IF(E7=0,0,E24/E7)</f>
        <v>4732</v>
      </c>
      <c r="F23" s="31" t="n">
        <f aca="false">IF(F7=0,0,F24/F7)</f>
        <v>6814.08</v>
      </c>
      <c r="G23" s="31" t="n">
        <f aca="false">IF(G7=0,0,G24/G7)</f>
        <v>7631.7696</v>
      </c>
      <c r="H23" s="3"/>
    </row>
    <row r="24" customFormat="false" ht="15" hidden="false" customHeight="false" outlineLevel="0" collapsed="false">
      <c r="A24" s="9" t="s">
        <v>455</v>
      </c>
      <c r="B24" s="3" t="s">
        <v>62</v>
      </c>
      <c r="C24" s="61" t="n">
        <f aca="false">'Monthly PL Y1 Y2'!AB36</f>
        <v>0</v>
      </c>
      <c r="D24" s="61" t="n">
        <f aca="false">'Monthly PL Y1 Y2'!AC36</f>
        <v>122304</v>
      </c>
      <c r="E24" s="61" t="n">
        <f aca="false">E15*Assumptions!$F$50</f>
        <v>196518.0672</v>
      </c>
      <c r="F24" s="61" t="n">
        <f aca="false">F15*Assumptions!$F$51</f>
        <v>271666.57609728</v>
      </c>
      <c r="G24" s="61" t="n">
        <f aca="false">G15*Assumptions!$F$52</f>
        <v>292095.902619796</v>
      </c>
      <c r="H24" s="3"/>
    </row>
    <row r="25" customFormat="false" ht="15" hidden="false" customHeight="false" outlineLevel="0" collapsed="false">
      <c r="A25" s="3" t="s">
        <v>456</v>
      </c>
      <c r="B25" s="3" t="s">
        <v>62</v>
      </c>
      <c r="C25" s="60" t="n">
        <f aca="false">'Monthly PL Y1 Y2'!AB38</f>
        <v>0</v>
      </c>
      <c r="D25" s="60" t="n">
        <f aca="false">'Monthly PL Y1 Y2'!AC38</f>
        <v>45447.36</v>
      </c>
      <c r="E25" s="38" t="n">
        <f aca="false">E24*E8</f>
        <v>71729.094528</v>
      </c>
      <c r="F25" s="38" t="n">
        <f aca="false">F24*F8</f>
        <v>100516.633155994</v>
      </c>
      <c r="G25" s="38" t="n">
        <f aca="false">G24*G8</f>
        <v>109535.963482423</v>
      </c>
      <c r="H25" s="3"/>
    </row>
    <row r="26" customFormat="false" ht="15" hidden="false" customHeight="false" outlineLevel="0" collapsed="false">
      <c r="A26" s="3" t="s">
        <v>525</v>
      </c>
      <c r="B26" s="3" t="s">
        <v>62</v>
      </c>
      <c r="C26" s="60" t="n">
        <f aca="false">'Monthly PL Y1 Y2'!AB39</f>
        <v>0</v>
      </c>
      <c r="D26" s="60" t="n">
        <f aca="false">'Monthly PL Y1 Y2'!AC39</f>
        <v>15899.52</v>
      </c>
      <c r="E26" s="60" t="n">
        <f aca="false">E24*Assumptions!$F$66</f>
        <v>25547.348736</v>
      </c>
      <c r="F26" s="60" t="n">
        <f aca="false">F24*Assumptions!$F$66</f>
        <v>35316.6548926464</v>
      </c>
      <c r="G26" s="60" t="n">
        <f aca="false">G24*Assumptions!$F$66</f>
        <v>37972.4673405734</v>
      </c>
      <c r="H26" s="3"/>
    </row>
    <row r="27" customFormat="false" ht="15" hidden="false" customHeight="false" outlineLevel="0" collapsed="false">
      <c r="A27" s="3" t="s">
        <v>526</v>
      </c>
      <c r="B27" s="3" t="s">
        <v>62</v>
      </c>
      <c r="C27" s="60" t="n">
        <f aca="false">'Monthly PL Y1 Y2'!AB40</f>
        <v>0</v>
      </c>
      <c r="D27" s="60" t="n">
        <f aca="false">'Monthly PL Y1 Y2'!AC40</f>
        <v>18928</v>
      </c>
      <c r="E27" s="60" t="n">
        <f aca="false">E23*Assumptions!$F$67</f>
        <v>30758</v>
      </c>
      <c r="F27" s="60" t="n">
        <f aca="false">F23*Assumptions!$F$67</f>
        <v>44291.52</v>
      </c>
      <c r="G27" s="60" t="n">
        <f aca="false">G23*Assumptions!$F$67</f>
        <v>49606.5024</v>
      </c>
      <c r="H27" s="3"/>
    </row>
    <row r="28" customFormat="false" ht="15" hidden="false" customHeight="false" outlineLevel="0" collapsed="false">
      <c r="A28" s="3" t="s">
        <v>527</v>
      </c>
      <c r="B28" s="3" t="s">
        <v>62</v>
      </c>
      <c r="C28" s="60" t="n">
        <f aca="false">'Monthly PL Y1 Y2'!AB41</f>
        <v>0</v>
      </c>
      <c r="D28" s="60" t="n">
        <f aca="false">'Monthly PL Y1 Y2'!AC41</f>
        <v>6115.2</v>
      </c>
      <c r="E28" s="60" t="n">
        <f aca="false">E24*Assumptions!$F$68</f>
        <v>9825.90336</v>
      </c>
      <c r="F28" s="60" t="n">
        <f aca="false">F24*Assumptions!$F$68</f>
        <v>13583.328804864</v>
      </c>
      <c r="G28" s="60" t="n">
        <f aca="false">G24*Assumptions!$F$68</f>
        <v>14604.7951309898</v>
      </c>
      <c r="H28" s="3"/>
    </row>
    <row r="29" customFormat="false" ht="15" hidden="false" customHeight="false" outlineLevel="0" collapsed="false">
      <c r="A29" s="3" t="s">
        <v>321</v>
      </c>
      <c r="B29" s="3" t="s">
        <v>62</v>
      </c>
      <c r="C29" s="60" t="n">
        <f aca="false">'Monthly PL Y1 Y2'!AB42</f>
        <v>0</v>
      </c>
      <c r="D29" s="60" t="n">
        <f aca="false">'Monthly PL Y1 Y2'!AC42</f>
        <v>3669.12</v>
      </c>
      <c r="E29" s="60" t="n">
        <f aca="false">E24*Assumptions!$F$69</f>
        <v>5895.542016</v>
      </c>
      <c r="F29" s="60" t="n">
        <f aca="false">F24*Assumptions!$F$69</f>
        <v>8149.9972829184</v>
      </c>
      <c r="G29" s="60" t="n">
        <f aca="false">G24*Assumptions!$F$69</f>
        <v>8762.87707859387</v>
      </c>
      <c r="H29" s="3"/>
    </row>
    <row r="30" customFormat="false" ht="15" hidden="false" customHeight="false" outlineLevel="0" collapsed="false">
      <c r="A30" s="9" t="s">
        <v>528</v>
      </c>
      <c r="B30" s="3" t="s">
        <v>62</v>
      </c>
      <c r="C30" s="29" t="n">
        <f aca="false">C24-C25-C26-C27-C28-C29</f>
        <v>0</v>
      </c>
      <c r="D30" s="29" t="n">
        <f aca="false">D24-D25-D26-D27-D28-D29</f>
        <v>32244.8</v>
      </c>
      <c r="E30" s="29" t="n">
        <f aca="false">E24-E25-E26-E27-E28-E29</f>
        <v>52762.17856</v>
      </c>
      <c r="F30" s="29" t="n">
        <f aca="false">F24-F25-F26-F27-F28-F29</f>
        <v>69808.4419608576</v>
      </c>
      <c r="G30" s="29" t="n">
        <f aca="false">G24-G25-G26-G27-G28-G29</f>
        <v>71613.2971872151</v>
      </c>
      <c r="H30" s="3"/>
    </row>
    <row r="31" customFormat="false" ht="15" hidden="false" customHeight="false" outlineLevel="0" collapsed="false">
      <c r="A31" s="9" t="s">
        <v>530</v>
      </c>
    </row>
    <row r="32" customFormat="false" ht="15" hidden="false" customHeight="false" outlineLevel="0" collapsed="false">
      <c r="A32" s="3" t="s">
        <v>524</v>
      </c>
      <c r="B32" s="3" t="s">
        <v>95</v>
      </c>
      <c r="C32" s="62" t="n">
        <f aca="false">'Monthly PL Y1 Y2'!AB45</f>
        <v>0</v>
      </c>
      <c r="D32" s="62" t="n">
        <f aca="false">'Monthly PL Y1 Y2'!AC45</f>
        <v>4761.90476190476</v>
      </c>
      <c r="E32" s="62" t="n">
        <f aca="false">IF(E7=0,0,E33/(E7*Assumptions!$F$70))</f>
        <v>14046.2064005753</v>
      </c>
      <c r="F32" s="62" t="n">
        <f aca="false">IF(F7=0,0,F33/(F7*Assumptions!$F$70))</f>
        <v>25082.5114295988</v>
      </c>
      <c r="G32" s="62" t="n">
        <f aca="false">IF(G7=0,0,G33/(G7*Assumptions!$F$70))</f>
        <v>37014.1227693732</v>
      </c>
      <c r="H32" s="3"/>
    </row>
    <row r="33" customFormat="false" ht="15" hidden="false" customHeight="false" outlineLevel="0" collapsed="false">
      <c r="A33" s="9" t="s">
        <v>455</v>
      </c>
      <c r="B33" s="3" t="s">
        <v>62</v>
      </c>
      <c r="C33" s="61" t="n">
        <f aca="false">'Monthly PL Y1 Y2'!AB44</f>
        <v>0</v>
      </c>
      <c r="D33" s="61" t="n">
        <f aca="false">'Monthly PL Y1 Y2'!AC44</f>
        <v>120000</v>
      </c>
      <c r="E33" s="61" t="n">
        <f aca="false">Assumptions!$F$54</f>
        <v>350000</v>
      </c>
      <c r="F33" s="61" t="n">
        <f aca="false">Assumptions!$F$55</f>
        <v>600000</v>
      </c>
      <c r="G33" s="61" t="n">
        <f aca="false">Assumptions!$F$56</f>
        <v>850000</v>
      </c>
      <c r="H33" s="3"/>
    </row>
    <row r="34" customFormat="false" ht="15" hidden="false" customHeight="false" outlineLevel="0" collapsed="false">
      <c r="A34" s="3" t="s">
        <v>456</v>
      </c>
      <c r="B34" s="3" t="s">
        <v>62</v>
      </c>
      <c r="C34" s="60" t="n">
        <f aca="false">'Monthly PL Y1 Y2'!AB46</f>
        <v>0</v>
      </c>
      <c r="D34" s="60" t="n">
        <f aca="false">'Monthly PL Y1 Y2'!AC46</f>
        <v>74500</v>
      </c>
      <c r="E34" s="38" t="n">
        <f aca="false">E32*E7*E8</f>
        <v>212916.666666667</v>
      </c>
      <c r="F34" s="38" t="n">
        <f aca="false">F32*F7*F8</f>
        <v>370000</v>
      </c>
      <c r="G34" s="38" t="n">
        <f aca="false">G32*G7*G8</f>
        <v>531250</v>
      </c>
      <c r="H34" s="3"/>
    </row>
    <row r="35" customFormat="false" ht="15" hidden="false" customHeight="false" outlineLevel="0" collapsed="false">
      <c r="A35" s="3" t="s">
        <v>525</v>
      </c>
      <c r="B35" s="3" t="s">
        <v>62</v>
      </c>
      <c r="C35" s="60" t="n">
        <f aca="false">'Monthly PL Y1 Y2'!AB48</f>
        <v>0</v>
      </c>
      <c r="D35" s="60" t="n">
        <f aca="false">'Monthly PL Y1 Y2'!AC48</f>
        <v>6000</v>
      </c>
      <c r="E35" s="60" t="n">
        <f aca="false">E33*Assumptions!$F$72</f>
        <v>17500</v>
      </c>
      <c r="F35" s="60" t="n">
        <f aca="false">F33*Assumptions!$F$72</f>
        <v>30000</v>
      </c>
      <c r="G35" s="60" t="n">
        <f aca="false">G33*Assumptions!$F$72</f>
        <v>42500</v>
      </c>
      <c r="H35" s="3"/>
    </row>
    <row r="36" customFormat="false" ht="15" hidden="false" customHeight="false" outlineLevel="0" collapsed="false">
      <c r="A36" s="3" t="s">
        <v>526</v>
      </c>
      <c r="B36" s="3" t="s">
        <v>62</v>
      </c>
      <c r="C36" s="60" t="n">
        <f aca="false">'Monthly PL Y1 Y2'!AB47</f>
        <v>0</v>
      </c>
      <c r="D36" s="60" t="n">
        <f aca="false">'Monthly PL Y1 Y2'!AC47</f>
        <v>19047.619047619</v>
      </c>
      <c r="E36" s="60" t="n">
        <f aca="false">E32*Assumptions!$F$71</f>
        <v>56184.8256023013</v>
      </c>
      <c r="F36" s="60" t="n">
        <f aca="false">F32*Assumptions!$F$71</f>
        <v>100330.045718395</v>
      </c>
      <c r="G36" s="60" t="n">
        <f aca="false">G32*Assumptions!$F$71</f>
        <v>148056.491077493</v>
      </c>
      <c r="H36" s="3"/>
    </row>
    <row r="37" customFormat="false" ht="15" hidden="false" customHeight="false" outlineLevel="0" collapsed="false">
      <c r="A37" s="3" t="s">
        <v>527</v>
      </c>
      <c r="B37" s="3" t="s">
        <v>62</v>
      </c>
      <c r="C37" s="60" t="n">
        <f aca="false">'Monthly PL Y1 Y2'!AB49</f>
        <v>0</v>
      </c>
      <c r="D37" s="60" t="n">
        <f aca="false">'Monthly PL Y1 Y2'!AC49</f>
        <v>3600</v>
      </c>
      <c r="E37" s="60" t="n">
        <f aca="false">E33*Assumptions!$F$73</f>
        <v>10500</v>
      </c>
      <c r="F37" s="60" t="n">
        <f aca="false">F33*Assumptions!$F$73</f>
        <v>18000</v>
      </c>
      <c r="G37" s="60" t="n">
        <f aca="false">G33*Assumptions!$F$73</f>
        <v>25500</v>
      </c>
      <c r="H37" s="3"/>
    </row>
    <row r="38" customFormat="false" ht="15" hidden="false" customHeight="false" outlineLevel="0" collapsed="false">
      <c r="A38" s="3" t="s">
        <v>321</v>
      </c>
      <c r="B38" s="3" t="s">
        <v>62</v>
      </c>
      <c r="C38" s="60" t="n">
        <f aca="false">'Monthly PL Y1 Y2'!AB50</f>
        <v>0</v>
      </c>
      <c r="D38" s="60" t="n">
        <f aca="false">'Monthly PL Y1 Y2'!AC50</f>
        <v>2400</v>
      </c>
      <c r="E38" s="60" t="n">
        <f aca="false">E33*Assumptions!$F$74</f>
        <v>7000</v>
      </c>
      <c r="F38" s="60" t="n">
        <f aca="false">F33*Assumptions!$F$74</f>
        <v>12000</v>
      </c>
      <c r="G38" s="60" t="n">
        <f aca="false">G33*Assumptions!$F$74</f>
        <v>17000</v>
      </c>
      <c r="H38" s="3"/>
    </row>
    <row r="39" customFormat="false" ht="15" hidden="false" customHeight="false" outlineLevel="0" collapsed="false">
      <c r="A39" s="9" t="s">
        <v>528</v>
      </c>
      <c r="B39" s="3" t="s">
        <v>62</v>
      </c>
      <c r="C39" s="29" t="n">
        <f aca="false">C33-C34-C35-C36-C37-C38</f>
        <v>0</v>
      </c>
      <c r="D39" s="29" t="n">
        <f aca="false">D33-D34-D35-D36-D37-D38</f>
        <v>14452.380952381</v>
      </c>
      <c r="E39" s="29" t="n">
        <f aca="false">E33-E34-E35-E36-E37-E38</f>
        <v>45898.507731032</v>
      </c>
      <c r="F39" s="29" t="n">
        <f aca="false">F33-F34-F35-F36-F37-F38</f>
        <v>69669.9542816047</v>
      </c>
      <c r="G39" s="29" t="n">
        <f aca="false">G33-G34-G35-G36-G37-G38</f>
        <v>85693.508922507</v>
      </c>
      <c r="H39" s="3"/>
    </row>
    <row r="40" customFormat="false" ht="15" hidden="false" customHeight="false" outlineLevel="0" collapsed="false">
      <c r="A40" s="9" t="s">
        <v>531</v>
      </c>
    </row>
    <row r="41" customFormat="false" ht="15" hidden="false" customHeight="false" outlineLevel="0" collapsed="false">
      <c r="A41" s="3" t="s">
        <v>524</v>
      </c>
      <c r="B41" s="3" t="s">
        <v>95</v>
      </c>
      <c r="C41" s="31" t="n">
        <f aca="false">0</f>
        <v>0</v>
      </c>
      <c r="D41" s="31" t="n">
        <f aca="false">0</f>
        <v>0</v>
      </c>
      <c r="E41" s="31" t="n">
        <f aca="false">IF(E7=0,0,E42/E7)</f>
        <v>2407.92109724149</v>
      </c>
      <c r="F41" s="31" t="n">
        <f aca="false">IF(F7=0,0,F42/F7)</f>
        <v>6270.6278573997</v>
      </c>
      <c r="G41" s="31" t="n">
        <f aca="false">IF(G7=0,0,G42/G7)</f>
        <v>10451.0464289995</v>
      </c>
      <c r="H41" s="3"/>
    </row>
    <row r="42" customFormat="false" ht="15" hidden="false" customHeight="false" outlineLevel="0" collapsed="false">
      <c r="A42" s="9" t="s">
        <v>455</v>
      </c>
      <c r="B42" s="3" t="s">
        <v>62</v>
      </c>
      <c r="C42" s="29" t="n">
        <f aca="false">0</f>
        <v>0</v>
      </c>
      <c r="D42" s="29" t="n">
        <f aca="false">0</f>
        <v>0</v>
      </c>
      <c r="E42" s="61" t="n">
        <f aca="false">Assumptions!$F$57</f>
        <v>100000</v>
      </c>
      <c r="F42" s="61" t="n">
        <f aca="false">Assumptions!$F$58</f>
        <v>250000</v>
      </c>
      <c r="G42" s="61" t="n">
        <f aca="false">Assumptions!$F$59</f>
        <v>400000</v>
      </c>
      <c r="H42" s="3"/>
    </row>
    <row r="43" customFormat="false" ht="15" hidden="false" customHeight="false" outlineLevel="0" collapsed="false">
      <c r="A43" s="3" t="s">
        <v>456</v>
      </c>
      <c r="B43" s="3" t="s">
        <v>62</v>
      </c>
      <c r="C43" s="38" t="n">
        <f aca="false">0</f>
        <v>0</v>
      </c>
      <c r="D43" s="38" t="n">
        <f aca="false">0</f>
        <v>0</v>
      </c>
      <c r="E43" s="38" t="n">
        <f aca="false">E42*E8</f>
        <v>36500</v>
      </c>
      <c r="F43" s="38" t="n">
        <f aca="false">F42*F8</f>
        <v>92500</v>
      </c>
      <c r="G43" s="38" t="n">
        <f aca="false">G42*G8</f>
        <v>150000</v>
      </c>
      <c r="H43" s="3"/>
    </row>
    <row r="44" customFormat="false" ht="15" hidden="false" customHeight="false" outlineLevel="0" collapsed="false">
      <c r="A44" s="3" t="s">
        <v>525</v>
      </c>
      <c r="B44" s="3" t="s">
        <v>62</v>
      </c>
      <c r="C44" s="38" t="n">
        <f aca="false">0</f>
        <v>0</v>
      </c>
      <c r="D44" s="38" t="n">
        <f aca="false">0</f>
        <v>0</v>
      </c>
      <c r="E44" s="60" t="n">
        <f aca="false">E42*Assumptions!$F$75</f>
        <v>3000</v>
      </c>
      <c r="F44" s="60" t="n">
        <f aca="false">F42*Assumptions!$F$75</f>
        <v>7500</v>
      </c>
      <c r="G44" s="60" t="n">
        <f aca="false">G42*Assumptions!$F$75</f>
        <v>12000</v>
      </c>
      <c r="H44" s="3"/>
    </row>
    <row r="45" customFormat="false" ht="15" hidden="false" customHeight="false" outlineLevel="0" collapsed="false">
      <c r="A45" s="3" t="s">
        <v>526</v>
      </c>
      <c r="B45" s="3" t="s">
        <v>62</v>
      </c>
      <c r="C45" s="38" t="n">
        <f aca="false">0</f>
        <v>0</v>
      </c>
      <c r="D45" s="38" t="n">
        <f aca="false">0</f>
        <v>0</v>
      </c>
      <c r="E45" s="60" t="n">
        <f aca="false">E41*Assumptions!$F$76</f>
        <v>26487.1320696563</v>
      </c>
      <c r="F45" s="60" t="n">
        <f aca="false">F41*Assumptions!$F$76</f>
        <v>68976.9064313967</v>
      </c>
      <c r="G45" s="60" t="n">
        <f aca="false">G41*Assumptions!$F$76</f>
        <v>114961.510718995</v>
      </c>
      <c r="H45" s="3"/>
    </row>
    <row r="46" customFormat="false" ht="15" hidden="false" customHeight="false" outlineLevel="0" collapsed="false">
      <c r="A46" s="3" t="s">
        <v>527</v>
      </c>
      <c r="B46" s="3" t="s">
        <v>62</v>
      </c>
      <c r="C46" s="38" t="n">
        <f aca="false">0</f>
        <v>0</v>
      </c>
      <c r="D46" s="38" t="n">
        <f aca="false">0</f>
        <v>0</v>
      </c>
      <c r="E46" s="60" t="n">
        <f aca="false">E42*Assumptions!$F$77</f>
        <v>15000</v>
      </c>
      <c r="F46" s="60" t="n">
        <f aca="false">F42*Assumptions!$F$77</f>
        <v>37500</v>
      </c>
      <c r="G46" s="60" t="n">
        <f aca="false">G42*Assumptions!$F$77</f>
        <v>60000</v>
      </c>
      <c r="H46" s="3"/>
    </row>
    <row r="47" customFormat="false" ht="15" hidden="false" customHeight="false" outlineLevel="0" collapsed="false">
      <c r="A47" s="3" t="s">
        <v>321</v>
      </c>
      <c r="B47" s="3" t="s">
        <v>62</v>
      </c>
      <c r="C47" s="38" t="n">
        <f aca="false">0</f>
        <v>0</v>
      </c>
      <c r="D47" s="38" t="n">
        <f aca="false">0</f>
        <v>0</v>
      </c>
      <c r="E47" s="60" t="n">
        <f aca="false">E42*Assumptions!$F$78</f>
        <v>3000</v>
      </c>
      <c r="F47" s="60" t="n">
        <f aca="false">F42*Assumptions!$F$78</f>
        <v>7500</v>
      </c>
      <c r="G47" s="60" t="n">
        <f aca="false">G42*Assumptions!$F$78</f>
        <v>12000</v>
      </c>
      <c r="H47" s="3"/>
    </row>
    <row r="48" customFormat="false" ht="15" hidden="false" customHeight="false" outlineLevel="0" collapsed="false">
      <c r="A48" s="9" t="s">
        <v>528</v>
      </c>
      <c r="B48" s="3" t="s">
        <v>62</v>
      </c>
      <c r="C48" s="29" t="n">
        <f aca="false">C42-C43-C44-C45-C46-C47</f>
        <v>0</v>
      </c>
      <c r="D48" s="29" t="n">
        <f aca="false">D42-D43-D44-D45-D46-D47</f>
        <v>0</v>
      </c>
      <c r="E48" s="29" t="n">
        <f aca="false">E42-E43-E44-E45-E46-E47</f>
        <v>16012.8679303437</v>
      </c>
      <c r="F48" s="29" t="n">
        <f aca="false">F42-F43-F44-F45-F46-F47</f>
        <v>36023.0935686033</v>
      </c>
      <c r="G48" s="29" t="n">
        <f aca="false">G42-G43-G44-G45-G46-G47</f>
        <v>51038.4892810055</v>
      </c>
      <c r="H48" s="3"/>
    </row>
    <row r="49" customFormat="false" ht="15" hidden="false" customHeight="false" outlineLevel="0" collapsed="false">
      <c r="A49" s="9" t="s">
        <v>532</v>
      </c>
    </row>
    <row r="50" customFormat="false" ht="15" hidden="false" customHeight="false" outlineLevel="0" collapsed="false">
      <c r="A50" s="3" t="s">
        <v>524</v>
      </c>
      <c r="B50" s="3" t="s">
        <v>95</v>
      </c>
      <c r="C50" s="31" t="n">
        <f aca="false">0</f>
        <v>0</v>
      </c>
      <c r="D50" s="31" t="n">
        <f aca="false">0</f>
        <v>0</v>
      </c>
      <c r="E50" s="62" t="n">
        <f aca="false">IF(E7=0,0,E51/(E7*Assumptions!$F$79))</f>
        <v>0</v>
      </c>
      <c r="F50" s="62" t="n">
        <f aca="false">IF(F7=0,0,F51/(F7*Assumptions!$F$79))</f>
        <v>3271.63192559984</v>
      </c>
      <c r="G50" s="62" t="n">
        <f aca="false">IF(G7=0,0,G51/(G7*Assumptions!$F$79))</f>
        <v>7099.89567187466</v>
      </c>
      <c r="H50" s="3"/>
    </row>
    <row r="51" customFormat="false" ht="15" hidden="false" customHeight="false" outlineLevel="0" collapsed="false">
      <c r="A51" s="9" t="s">
        <v>455</v>
      </c>
      <c r="B51" s="3" t="s">
        <v>62</v>
      </c>
      <c r="C51" s="29" t="n">
        <f aca="false">0</f>
        <v>0</v>
      </c>
      <c r="D51" s="29" t="n">
        <f aca="false">0</f>
        <v>0</v>
      </c>
      <c r="E51" s="29" t="n">
        <f aca="false">0</f>
        <v>0</v>
      </c>
      <c r="F51" s="61" t="n">
        <f aca="false">Assumptions!$F$60</f>
        <v>120000</v>
      </c>
      <c r="G51" s="61" t="n">
        <f aca="false">Assumptions!$F$61</f>
        <v>250000</v>
      </c>
      <c r="H51" s="3"/>
    </row>
    <row r="52" customFormat="false" ht="15" hidden="false" customHeight="false" outlineLevel="0" collapsed="false">
      <c r="A52" s="3" t="s">
        <v>456</v>
      </c>
      <c r="B52" s="3" t="s">
        <v>62</v>
      </c>
      <c r="C52" s="38" t="n">
        <f aca="false">0</f>
        <v>0</v>
      </c>
      <c r="D52" s="38" t="n">
        <f aca="false">0</f>
        <v>0</v>
      </c>
      <c r="E52" s="60" t="n">
        <f aca="false">E50*E7*E8*(1+Assumptions!$F$84)</f>
        <v>0</v>
      </c>
      <c r="F52" s="60" t="n">
        <f aca="false">F50*F7*F8*(1+Assumptions!$F$84)</f>
        <v>48260.8695652174</v>
      </c>
      <c r="G52" s="60" t="n">
        <f aca="false">G50*G7*G8*(1+Assumptions!$F$84)</f>
        <v>101902.173913043</v>
      </c>
      <c r="H52" s="3"/>
    </row>
    <row r="53" customFormat="false" ht="15" hidden="false" customHeight="false" outlineLevel="0" collapsed="false">
      <c r="A53" s="3" t="s">
        <v>525</v>
      </c>
      <c r="B53" s="3" t="s">
        <v>62</v>
      </c>
      <c r="C53" s="38" t="n">
        <f aca="false">0</f>
        <v>0</v>
      </c>
      <c r="D53" s="38" t="n">
        <f aca="false">0</f>
        <v>0</v>
      </c>
      <c r="E53" s="60" t="n">
        <f aca="false">E51*Assumptions!$F$81</f>
        <v>0</v>
      </c>
      <c r="F53" s="60" t="n">
        <f aca="false">F51*Assumptions!$F$81</f>
        <v>18000</v>
      </c>
      <c r="G53" s="60" t="n">
        <f aca="false">G51*Assumptions!$F$81</f>
        <v>37500</v>
      </c>
      <c r="H53" s="3"/>
    </row>
    <row r="54" customFormat="false" ht="15" hidden="false" customHeight="false" outlineLevel="0" collapsed="false">
      <c r="A54" s="3" t="s">
        <v>526</v>
      </c>
      <c r="B54" s="3" t="s">
        <v>62</v>
      </c>
      <c r="C54" s="38" t="n">
        <f aca="false">0</f>
        <v>0</v>
      </c>
      <c r="D54" s="38" t="n">
        <f aca="false">0</f>
        <v>0</v>
      </c>
      <c r="E54" s="60" t="n">
        <f aca="false">E50*Assumptions!$F$80</f>
        <v>0</v>
      </c>
      <c r="F54" s="60" t="n">
        <f aca="false">F50*Assumptions!$F$80</f>
        <v>21265.607516399</v>
      </c>
      <c r="G54" s="60" t="n">
        <f aca="false">G50*Assumptions!$F$80</f>
        <v>46149.3218671853</v>
      </c>
      <c r="H54" s="3"/>
    </row>
    <row r="55" customFormat="false" ht="15" hidden="false" customHeight="false" outlineLevel="0" collapsed="false">
      <c r="A55" s="3" t="s">
        <v>527</v>
      </c>
      <c r="B55" s="3" t="s">
        <v>62</v>
      </c>
      <c r="C55" s="38" t="n">
        <f aca="false">0</f>
        <v>0</v>
      </c>
      <c r="D55" s="38" t="n">
        <f aca="false">0</f>
        <v>0</v>
      </c>
      <c r="E55" s="60" t="n">
        <f aca="false">E51*Assumptions!$F$82</f>
        <v>0</v>
      </c>
      <c r="F55" s="60" t="n">
        <f aca="false">F51*Assumptions!$F$82</f>
        <v>14400</v>
      </c>
      <c r="G55" s="60" t="n">
        <f aca="false">G51*Assumptions!$F$82</f>
        <v>30000</v>
      </c>
      <c r="H55" s="3"/>
    </row>
    <row r="56" customFormat="false" ht="15" hidden="false" customHeight="false" outlineLevel="0" collapsed="false">
      <c r="A56" s="3" t="s">
        <v>321</v>
      </c>
      <c r="B56" s="3" t="s">
        <v>62</v>
      </c>
      <c r="C56" s="38" t="n">
        <f aca="false">0</f>
        <v>0</v>
      </c>
      <c r="D56" s="38" t="n">
        <f aca="false">0</f>
        <v>0</v>
      </c>
      <c r="E56" s="60" t="n">
        <f aca="false">E51*Assumptions!$F$83</f>
        <v>0</v>
      </c>
      <c r="F56" s="60" t="n">
        <f aca="false">F51*Assumptions!$F$83</f>
        <v>3600</v>
      </c>
      <c r="G56" s="60" t="n">
        <f aca="false">G51*Assumptions!$F$83</f>
        <v>7500</v>
      </c>
      <c r="H56" s="3"/>
    </row>
    <row r="57" customFormat="false" ht="15" hidden="false" customHeight="false" outlineLevel="0" collapsed="false">
      <c r="A57" s="9" t="s">
        <v>528</v>
      </c>
      <c r="B57" s="3" t="s">
        <v>62</v>
      </c>
      <c r="C57" s="29" t="n">
        <f aca="false">C51-C52-C53-C54-C55-C56</f>
        <v>0</v>
      </c>
      <c r="D57" s="29" t="n">
        <f aca="false">D51-D52-D53-D54-D55-D56</f>
        <v>0</v>
      </c>
      <c r="E57" s="29" t="n">
        <f aca="false">E51-E52-E53-E54-E55-E56</f>
        <v>0</v>
      </c>
      <c r="F57" s="29" t="n">
        <f aca="false">F51-F52-F53-F54-F55-F56</f>
        <v>14473.5229183836</v>
      </c>
      <c r="G57" s="29" t="n">
        <f aca="false">G51-G52-G53-G54-G55-G56</f>
        <v>26948.5042197712</v>
      </c>
      <c r="H57" s="3"/>
    </row>
    <row r="58" customFormat="false" ht="15" hidden="false" customHeight="false" outlineLevel="0" collapsed="false">
      <c r="A58" s="9" t="s">
        <v>533</v>
      </c>
    </row>
    <row r="59" customFormat="false" ht="15" hidden="false" customHeight="false" outlineLevel="0" collapsed="false">
      <c r="A59" s="3" t="s">
        <v>524</v>
      </c>
      <c r="B59" s="3" t="s">
        <v>95</v>
      </c>
      <c r="C59" s="31" t="n">
        <f aca="false">0</f>
        <v>0</v>
      </c>
      <c r="D59" s="31" t="n">
        <f aca="false">0</f>
        <v>0</v>
      </c>
      <c r="E59" s="62" t="n">
        <f aca="false">IF(Assumptions!$F$85=0,0,E60/Assumptions!$F$85)</f>
        <v>0</v>
      </c>
      <c r="F59" s="62" t="n">
        <f aca="false">IF(Assumptions!$F$85=0,0,F60/Assumptions!$F$85)</f>
        <v>1250</v>
      </c>
      <c r="G59" s="62" t="n">
        <f aca="false">IF(Assumptions!$F$85=0,0,G60/Assumptions!$F$85)</f>
        <v>2916.66666666667</v>
      </c>
      <c r="H59" s="3"/>
    </row>
    <row r="60" customFormat="false" ht="15" hidden="false" customHeight="false" outlineLevel="0" collapsed="false">
      <c r="A60" s="9" t="s">
        <v>455</v>
      </c>
      <c r="B60" s="3" t="s">
        <v>62</v>
      </c>
      <c r="C60" s="29" t="n">
        <f aca="false">0</f>
        <v>0</v>
      </c>
      <c r="D60" s="29" t="n">
        <f aca="false">0</f>
        <v>0</v>
      </c>
      <c r="E60" s="29" t="n">
        <f aca="false">0</f>
        <v>0</v>
      </c>
      <c r="F60" s="61" t="n">
        <f aca="false">Assumptions!$F$62</f>
        <v>150000</v>
      </c>
      <c r="G60" s="61" t="n">
        <f aca="false">Assumptions!$F$63</f>
        <v>350000</v>
      </c>
      <c r="H60" s="3"/>
    </row>
    <row r="61" customFormat="false" ht="15" hidden="false" customHeight="false" outlineLevel="0" collapsed="false">
      <c r="A61" s="3" t="s">
        <v>456</v>
      </c>
      <c r="B61" s="3" t="s">
        <v>62</v>
      </c>
      <c r="C61" s="38" t="n">
        <f aca="false">0</f>
        <v>0</v>
      </c>
      <c r="D61" s="38" t="n">
        <f aca="false">0</f>
        <v>0</v>
      </c>
      <c r="E61" s="60" t="n">
        <f aca="false">E60*Assumptions!$F$86</f>
        <v>0</v>
      </c>
      <c r="F61" s="60" t="n">
        <f aca="false">F60*Assumptions!$F$86</f>
        <v>60000</v>
      </c>
      <c r="G61" s="60" t="n">
        <f aca="false">G60*Assumptions!$F$86</f>
        <v>140000</v>
      </c>
      <c r="H61" s="3"/>
    </row>
    <row r="62" customFormat="false" ht="15" hidden="false" customHeight="false" outlineLevel="0" collapsed="false">
      <c r="A62" s="3" t="s">
        <v>525</v>
      </c>
      <c r="B62" s="3" t="s">
        <v>62</v>
      </c>
      <c r="C62" s="38" t="n">
        <f aca="false">0</f>
        <v>0</v>
      </c>
      <c r="D62" s="38" t="n">
        <f aca="false">0</f>
        <v>0</v>
      </c>
      <c r="E62" s="60" t="n">
        <f aca="false">E60*(Assumptions!$F$87*Assumptions!$F$72+(1-Assumptions!$F$87)*Assumptions!$F$19)</f>
        <v>0</v>
      </c>
      <c r="F62" s="60" t="n">
        <f aca="false">F60*(Assumptions!$F$87*Assumptions!$F$72+(1-Assumptions!$F$87)*Assumptions!$F$19)</f>
        <v>13500</v>
      </c>
      <c r="G62" s="60" t="n">
        <f aca="false">G60*(Assumptions!$F$87*Assumptions!$F$72+(1-Assumptions!$F$87)*Assumptions!$F$19)</f>
        <v>31500</v>
      </c>
      <c r="H62" s="3"/>
    </row>
    <row r="63" customFormat="false" ht="15" hidden="false" customHeight="false" outlineLevel="0" collapsed="false">
      <c r="A63" s="3" t="s">
        <v>526</v>
      </c>
      <c r="B63" s="3" t="s">
        <v>62</v>
      </c>
      <c r="C63" s="38" t="n">
        <f aca="false">0</f>
        <v>0</v>
      </c>
      <c r="D63" s="38" t="n">
        <f aca="false">0</f>
        <v>0</v>
      </c>
      <c r="E63" s="60" t="n">
        <f aca="false">E59*(Assumptions!$F$87*Assumptions!$F$71+(1-Assumptions!$F$87)*Assumptions!$F$88)</f>
        <v>0</v>
      </c>
      <c r="F63" s="60" t="n">
        <f aca="false">F59*(Assumptions!$F$87*Assumptions!$F$71+(1-Assumptions!$F$87)*Assumptions!$F$88)</f>
        <v>7200</v>
      </c>
      <c r="G63" s="60" t="n">
        <f aca="false">G59*(Assumptions!$F$87*Assumptions!$F$71+(1-Assumptions!$F$87)*Assumptions!$F$88)</f>
        <v>16800</v>
      </c>
      <c r="H63" s="3"/>
    </row>
    <row r="64" customFormat="false" ht="15" hidden="false" customHeight="false" outlineLevel="0" collapsed="false">
      <c r="A64" s="3" t="s">
        <v>527</v>
      </c>
      <c r="B64" s="3" t="s">
        <v>62</v>
      </c>
      <c r="C64" s="38" t="n">
        <f aca="false">0</f>
        <v>0</v>
      </c>
      <c r="D64" s="38" t="n">
        <f aca="false">0</f>
        <v>0</v>
      </c>
      <c r="E64" s="60" t="n">
        <f aca="false">E60*(Assumptions!$F$87*Assumptions!$F$73+(1-Assumptions!$F$87)*Assumptions!$F$89)</f>
        <v>0</v>
      </c>
      <c r="F64" s="60" t="n">
        <f aca="false">F60*(Assumptions!$F$87*Assumptions!$F$73+(1-Assumptions!$F$87)*Assumptions!$F$89)</f>
        <v>9900</v>
      </c>
      <c r="G64" s="60" t="n">
        <f aca="false">G60*(Assumptions!$F$87*Assumptions!$F$73+(1-Assumptions!$F$87)*Assumptions!$F$89)</f>
        <v>23100</v>
      </c>
      <c r="H64" s="3"/>
    </row>
    <row r="65" customFormat="false" ht="15" hidden="false" customHeight="false" outlineLevel="0" collapsed="false">
      <c r="A65" s="3" t="s">
        <v>321</v>
      </c>
      <c r="B65" s="3" t="s">
        <v>62</v>
      </c>
      <c r="C65" s="38" t="n">
        <f aca="false">0</f>
        <v>0</v>
      </c>
      <c r="D65" s="38" t="n">
        <f aca="false">0</f>
        <v>0</v>
      </c>
      <c r="E65" s="60" t="n">
        <f aca="false">E60*(Assumptions!$F$87*Assumptions!$F$74+(1-Assumptions!$F$87)*(Assumptions!$F$90+Assumptions!$F$91))</f>
        <v>0</v>
      </c>
      <c r="F65" s="60" t="n">
        <f aca="false">F60*(Assumptions!$F$87*Assumptions!$F$74+(1-Assumptions!$F$87)*(Assumptions!$F$90+Assumptions!$F$91))</f>
        <v>4800</v>
      </c>
      <c r="G65" s="60" t="n">
        <f aca="false">G60*(Assumptions!$F$87*Assumptions!$F$74+(1-Assumptions!$F$87)*(Assumptions!$F$90+Assumptions!$F$91))</f>
        <v>11200</v>
      </c>
      <c r="H65" s="3"/>
    </row>
    <row r="66" customFormat="false" ht="15" hidden="false" customHeight="false" outlineLevel="0" collapsed="false">
      <c r="A66" s="9" t="s">
        <v>528</v>
      </c>
      <c r="B66" s="3" t="s">
        <v>62</v>
      </c>
      <c r="C66" s="29" t="n">
        <f aca="false">C60-C61-C62-C63-C64-C65</f>
        <v>0</v>
      </c>
      <c r="D66" s="29" t="n">
        <f aca="false">D60-D61-D62-D63-D64-D65</f>
        <v>0</v>
      </c>
      <c r="E66" s="29" t="n">
        <f aca="false">E60-E61-E62-E63-E64-E65</f>
        <v>0</v>
      </c>
      <c r="F66" s="29" t="n">
        <f aca="false">F60-F61-F62-F63-F64-F65</f>
        <v>54600</v>
      </c>
      <c r="G66" s="29" t="n">
        <f aca="false">G60-G61-G62-G63-G64-G65</f>
        <v>127400</v>
      </c>
      <c r="H66" s="3"/>
    </row>
    <row r="68" customFormat="false" ht="15" hidden="false" customHeight="false" outlineLevel="0" collapsed="false">
      <c r="A68" s="9" t="s">
        <v>534</v>
      </c>
    </row>
    <row r="69" customFormat="false" ht="15" hidden="false" customHeight="false" outlineLevel="0" collapsed="false">
      <c r="A69" s="9" t="s">
        <v>495</v>
      </c>
      <c r="B69" s="3" t="s">
        <v>62</v>
      </c>
      <c r="C69" s="29" t="n">
        <f aca="false">C15+C24+C33+C42+C51+C60</f>
        <v>494340</v>
      </c>
      <c r="D69" s="29" t="n">
        <f aca="false">D15+D24+D33+D42+D51+D60</f>
        <v>1771104</v>
      </c>
      <c r="E69" s="29" t="n">
        <f aca="false">E15+E24+E33+E42+E51+E60</f>
        <v>2611698.7392</v>
      </c>
      <c r="F69" s="29" t="n">
        <f aca="false">F15+F24+F33+F42+F51+F60</f>
        <v>3655554.71024128</v>
      </c>
      <c r="G69" s="29" t="n">
        <f aca="false">G15+G24+G33+G42+G51+G60</f>
        <v>4576228.42445143</v>
      </c>
      <c r="H69" s="3"/>
    </row>
    <row r="70" customFormat="false" ht="15" hidden="false" customHeight="false" outlineLevel="0" collapsed="false">
      <c r="A70" s="3" t="s">
        <v>456</v>
      </c>
      <c r="B70" s="3" t="s">
        <v>62</v>
      </c>
      <c r="C70" s="38" t="n">
        <f aca="false">C16+C25+C34+C43+C52+C61</f>
        <v>187849.2</v>
      </c>
      <c r="D70" s="38" t="n">
        <f aca="false">D16+D25+D34+D43+D52+D61</f>
        <v>688039.36</v>
      </c>
      <c r="E70" s="38" t="n">
        <f aca="false">E16+E25+E34+E43+E52+E61</f>
        <v>1038436.70647467</v>
      </c>
      <c r="F70" s="38" t="n">
        <f aca="false">F16+F25+F34+F43+F52+F61</f>
        <v>1508916.11235449</v>
      </c>
      <c r="G70" s="38" t="n">
        <f aca="false">G16+G25+G34+G43+G52+G61</f>
        <v>1945487.83308233</v>
      </c>
      <c r="H70" s="3"/>
    </row>
    <row r="71" customFormat="false" ht="15" hidden="false" customHeight="false" outlineLevel="0" collapsed="false">
      <c r="A71" s="3" t="s">
        <v>535</v>
      </c>
      <c r="B71" s="3" t="s">
        <v>62</v>
      </c>
      <c r="C71" s="38" t="n">
        <f aca="false">C17+C26+C35+C44+C53+C62</f>
        <v>74151</v>
      </c>
      <c r="D71" s="38" t="n">
        <f aca="false">D17+D26+D35+D44+D53+D62</f>
        <v>251219.52</v>
      </c>
      <c r="E71" s="38" t="n">
        <f aca="false">E17+E26+E35+E44+E53+E62</f>
        <v>340824.449536</v>
      </c>
      <c r="F71" s="38" t="n">
        <f aca="false">F17+F26+F35+F44+F53+F62</f>
        <v>443899.875014246</v>
      </c>
      <c r="G71" s="38" t="n">
        <f aca="false">G17+G26+G35+G44+G53+G62</f>
        <v>526592.345615318</v>
      </c>
      <c r="H71" s="3"/>
    </row>
    <row r="72" customFormat="false" ht="15" hidden="false" customHeight="false" outlineLevel="0" collapsed="false">
      <c r="A72" s="3" t="s">
        <v>536</v>
      </c>
      <c r="B72" s="3" t="s">
        <v>62</v>
      </c>
      <c r="C72" s="38" t="n">
        <f aca="false">C18+C27+C36+C45+C54+C63</f>
        <v>64735</v>
      </c>
      <c r="D72" s="38" t="n">
        <f aca="false">D18+D27+D36+D45+D54+D63</f>
        <v>241541.619047619</v>
      </c>
      <c r="E72" s="38" t="n">
        <f aca="false">E18+E27+E36+E45+E54+E63</f>
        <v>389539.791671958</v>
      </c>
      <c r="F72" s="38" t="n">
        <f aca="false">F18+F27+F36+F45+F54+F63</f>
        <v>583335.834490191</v>
      </c>
      <c r="G72" s="38" t="n">
        <f aca="false">G18+G27+G36+G45+G54+G63</f>
        <v>769264.922428639</v>
      </c>
      <c r="H72" s="3"/>
    </row>
    <row r="73" customFormat="false" ht="15" hidden="false" customHeight="false" outlineLevel="0" collapsed="false">
      <c r="A73" s="3" t="s">
        <v>527</v>
      </c>
      <c r="B73" s="3" t="s">
        <v>62</v>
      </c>
      <c r="C73" s="38" t="n">
        <f aca="false">C19+C28+C37+C46+C55+C64</f>
        <v>84667.8</v>
      </c>
      <c r="D73" s="38" t="n">
        <f aca="false">D19+D28+D37+D46+D55+D64</f>
        <v>177883.2</v>
      </c>
      <c r="E73" s="38" t="n">
        <f aca="false">E19+E28+E37+E46+E55+E64</f>
        <v>261321.68064</v>
      </c>
      <c r="F73" s="38" t="n">
        <f aca="false">F19+F28+F37+F46+F55+F64</f>
        <v>353730.464231424</v>
      </c>
      <c r="G73" s="38" t="n">
        <f aca="false">G19+G28+G37+G46+G55+G64</f>
        <v>433130.035141627</v>
      </c>
      <c r="H73" s="3"/>
    </row>
    <row r="74" customFormat="false" ht="15" hidden="false" customHeight="false" outlineLevel="0" collapsed="false">
      <c r="A74" s="3" t="s">
        <v>321</v>
      </c>
      <c r="B74" s="3" t="s">
        <v>62</v>
      </c>
      <c r="C74" s="38" t="n">
        <f aca="false">C20+C29+C38+C47+C56+C65</f>
        <v>24717</v>
      </c>
      <c r="D74" s="38" t="n">
        <f aca="false">D20+D29+D38+D47+D56+D65</f>
        <v>78225.12</v>
      </c>
      <c r="E74" s="38" t="n">
        <f aca="false">E20+E29+E38+E47+E56+E65</f>
        <v>104328.672256</v>
      </c>
      <c r="F74" s="38" t="n">
        <f aca="false">F20+F29+F38+F47+F56+F65</f>
        <v>137924.963319398</v>
      </c>
      <c r="G74" s="38" t="n">
        <f aca="false">G20+G29+G38+G47+G56+G65</f>
        <v>165998.840561017</v>
      </c>
      <c r="H74" s="3"/>
    </row>
    <row r="75" customFormat="false" ht="15" hidden="false" customHeight="false" outlineLevel="0" collapsed="false">
      <c r="A75" s="9" t="s">
        <v>537</v>
      </c>
      <c r="B75" s="3" t="s">
        <v>62</v>
      </c>
      <c r="C75" s="29" t="n">
        <f aca="false">C21+C30+C39+C48+C57+C66</f>
        <v>58220</v>
      </c>
      <c r="D75" s="29" t="n">
        <f aca="false">D21+D30+D39+D48+D57+D66</f>
        <v>334195.180952381</v>
      </c>
      <c r="E75" s="29" t="n">
        <f aca="false">E21+E30+E39+E48+E57+E66</f>
        <v>477247.438621376</v>
      </c>
      <c r="F75" s="29" t="n">
        <f aca="false">F21+F30+F39+F48+F57+F66</f>
        <v>627747.46083153</v>
      </c>
      <c r="G75" s="29" t="n">
        <f aca="false">G21+G30+G39+G48+G57+G66</f>
        <v>735754.447622496</v>
      </c>
      <c r="H75" s="3"/>
    </row>
    <row r="76" customFormat="false" ht="15" hidden="false" customHeight="false" outlineLevel="0" collapsed="false">
      <c r="A76" s="3" t="s">
        <v>538</v>
      </c>
      <c r="B76" s="3" t="s">
        <v>62</v>
      </c>
      <c r="C76" s="60" t="n">
        <f aca="false">'Monthly PL Y1 Y2'!AB17</f>
        <v>10200</v>
      </c>
      <c r="D76" s="60" t="n">
        <f aca="false">'Monthly PL Y1 Y2'!AC17</f>
        <v>14100</v>
      </c>
      <c r="E76" s="60" t="n">
        <f aca="false">Assumptions!$F$46*12</f>
        <v>48000</v>
      </c>
      <c r="F76" s="60" t="n">
        <f aca="false">Assumptions!$F$47*12</f>
        <v>84000</v>
      </c>
      <c r="G76" s="60" t="n">
        <f aca="false">Assumptions!$F$48*12</f>
        <v>120000</v>
      </c>
      <c r="H76" s="3" t="s">
        <v>539</v>
      </c>
    </row>
    <row r="77" customFormat="false" ht="15" hidden="false" customHeight="false" outlineLevel="0" collapsed="false">
      <c r="A77" s="3" t="s">
        <v>462</v>
      </c>
      <c r="B77" s="3" t="s">
        <v>62</v>
      </c>
      <c r="C77" s="60" t="n">
        <f aca="false">'Monthly PL Y1 Y2'!AB18</f>
        <v>479.88</v>
      </c>
      <c r="D77" s="60" t="n">
        <f aca="false">'Monthly PL Y1 Y2'!AC18</f>
        <v>479.88</v>
      </c>
      <c r="E77" s="60" t="n">
        <f aca="false">Assumptions!$F$22*12</f>
        <v>479.88</v>
      </c>
      <c r="F77" s="60" t="n">
        <f aca="false">Assumptions!$F$22*12</f>
        <v>479.88</v>
      </c>
      <c r="G77" s="60" t="n">
        <f aca="false">Assumptions!$F$22*12</f>
        <v>479.88</v>
      </c>
      <c r="H77" s="3"/>
    </row>
    <row r="78" customFormat="false" ht="15" hidden="false" customHeight="false" outlineLevel="0" collapsed="false">
      <c r="A78" s="3" t="s">
        <v>463</v>
      </c>
      <c r="B78" s="3" t="s">
        <v>62</v>
      </c>
      <c r="C78" s="60" t="n">
        <f aca="false">'Monthly PL Y1 Y2'!AB19</f>
        <v>9500</v>
      </c>
      <c r="D78" s="60" t="n">
        <f aca="false">'Monthly PL Y1 Y2'!AC19</f>
        <v>0</v>
      </c>
      <c r="E78" s="38" t="n">
        <f aca="false">0</f>
        <v>0</v>
      </c>
      <c r="F78" s="38" t="n">
        <f aca="false">0</f>
        <v>0</v>
      </c>
      <c r="G78" s="38" t="n">
        <f aca="false">0</f>
        <v>0</v>
      </c>
      <c r="H78" s="3"/>
    </row>
    <row r="79" customFormat="false" ht="15" hidden="false" customHeight="false" outlineLevel="0" collapsed="false">
      <c r="A79" s="3" t="s">
        <v>540</v>
      </c>
      <c r="B79" s="3" t="s">
        <v>62</v>
      </c>
      <c r="C79" s="60" t="n">
        <f aca="false">'Monthly PL Y1 Y2'!AB20</f>
        <v>0</v>
      </c>
      <c r="D79" s="60" t="n">
        <f aca="false">'Monthly PL Y1 Y2'!AC20</f>
        <v>2560</v>
      </c>
      <c r="E79" s="60" t="n">
        <f aca="false">Assumptions!$F$94+Assumptions!$F$95+Assumptions!$F$96+Assumptions!$F$97+IF(3=5,Assumptions!$F$98,0)</f>
        <v>2560</v>
      </c>
      <c r="F79" s="60" t="n">
        <f aca="false">Assumptions!$F$94+Assumptions!$F$95+Assumptions!$F$96+Assumptions!$F$97+IF(4=5,Assumptions!$F$98,0)</f>
        <v>2560</v>
      </c>
      <c r="G79" s="60" t="n">
        <f aca="false">Assumptions!$F$94+Assumptions!$F$95+Assumptions!$F$96+Assumptions!$F$97+IF(5=5,Assumptions!$F$98,0)</f>
        <v>2560</v>
      </c>
      <c r="H79" s="3" t="s">
        <v>541</v>
      </c>
    </row>
    <row r="80" customFormat="false" ht="15" hidden="false" customHeight="false" outlineLevel="0" collapsed="false">
      <c r="A80" s="9" t="s">
        <v>542</v>
      </c>
      <c r="B80" s="3" t="s">
        <v>62</v>
      </c>
      <c r="C80" s="29" t="n">
        <f aca="false">C75-C76-C77-C78-C79</f>
        <v>38040.12</v>
      </c>
      <c r="D80" s="29" t="n">
        <f aca="false">D75-D76-D77-D78-D79</f>
        <v>317055.300952381</v>
      </c>
      <c r="E80" s="29" t="n">
        <f aca="false">E75-E76-E77-E78-E79</f>
        <v>426207.558621376</v>
      </c>
      <c r="F80" s="29" t="n">
        <f aca="false">F75-F76-F77-F78-F79</f>
        <v>540707.58083153</v>
      </c>
      <c r="G80" s="29" t="n">
        <f aca="false">G75-G76-G77-G78-G79</f>
        <v>612714.567622496</v>
      </c>
      <c r="H80" s="3"/>
    </row>
    <row r="81" customFormat="false" ht="15" hidden="false" customHeight="false" outlineLevel="0" collapsed="false">
      <c r="A81" s="9" t="s">
        <v>467</v>
      </c>
      <c r="B81" s="3" t="s">
        <v>66</v>
      </c>
      <c r="C81" s="19" t="n">
        <f aca="false">IF(C69=0,0,C80/C69)</f>
        <v>0.076951329044787</v>
      </c>
      <c r="D81" s="19" t="n">
        <f aca="false">IF(D69=0,0,D80/D69)</f>
        <v>0.179015631466239</v>
      </c>
      <c r="E81" s="19" t="n">
        <f aca="false">IF(E69=0,0,E80/E69)</f>
        <v>0.16319170056801</v>
      </c>
      <c r="F81" s="19" t="n">
        <f aca="false">IF(F69=0,0,F80/F69)</f>
        <v>0.147913962090815</v>
      </c>
      <c r="G81" s="19" t="n">
        <f aca="false">IF(G69=0,0,G80/G69)</f>
        <v>0.133890730704935</v>
      </c>
      <c r="H81" s="3"/>
    </row>
    <row r="82" customFormat="false" ht="15" hidden="false" customHeight="false" outlineLevel="0" collapsed="false">
      <c r="A82" s="3" t="s">
        <v>543</v>
      </c>
      <c r="B82" s="3" t="s">
        <v>62</v>
      </c>
      <c r="C82" s="38" t="n">
        <f aca="false">C80</f>
        <v>38040.12</v>
      </c>
      <c r="D82" s="38" t="n">
        <f aca="false">C82+D80</f>
        <v>355095.420952381</v>
      </c>
      <c r="E82" s="38" t="n">
        <f aca="false">D82+E80</f>
        <v>781302.979573757</v>
      </c>
      <c r="F82" s="38" t="n">
        <f aca="false">E82+F80</f>
        <v>1322010.56040529</v>
      </c>
      <c r="G82" s="38" t="n">
        <f aca="false">F82+G80</f>
        <v>1934725.12802778</v>
      </c>
      <c r="H82" s="3"/>
    </row>
    <row r="83" customFormat="false" ht="15" hidden="false" customHeight="false" outlineLevel="0" collapsed="false">
      <c r="A83" s="3" t="s">
        <v>544</v>
      </c>
      <c r="B83" s="3" t="s">
        <v>66</v>
      </c>
      <c r="C83" s="34" t="n">
        <f aca="false">IF(C15=0,0,C21/C15)</f>
        <v>0.117773192539548</v>
      </c>
      <c r="D83" s="34" t="n">
        <f aca="false">IF(D15=0,0,D21/D15)</f>
        <v>0.188054683411826</v>
      </c>
      <c r="E83" s="34" t="n">
        <f aca="false">IF(E15=0,0,E21/E15)</f>
        <v>0.184499007936508</v>
      </c>
      <c r="F83" s="34" t="n">
        <f aca="false">IF(F15=0,0,F21/F15)</f>
        <v>0.169254143931878</v>
      </c>
      <c r="G83" s="34" t="n">
        <f aca="false">IF(G15=0,0,G21/G15)</f>
        <v>0.153262258593578</v>
      </c>
      <c r="H83" s="3"/>
    </row>
    <row r="85" customFormat="false" ht="15" hidden="false" customHeight="false" outlineLevel="0" collapsed="false">
      <c r="A85" s="9" t="s">
        <v>545</v>
      </c>
    </row>
    <row r="86" customFormat="false" ht="15" hidden="false" customHeight="false" outlineLevel="0" collapsed="false">
      <c r="A86" s="3" t="s">
        <v>546</v>
      </c>
      <c r="C86" s="60" t="n">
        <f aca="false">C69-'Monthly PL Y1 Y2'!AB54</f>
        <v>0</v>
      </c>
      <c r="D86" s="60" t="n">
        <f aca="false">D69-'Monthly PL Y1 Y2'!AC54</f>
        <v>0</v>
      </c>
    </row>
    <row r="87" customFormat="false" ht="15" hidden="false" customHeight="false" outlineLevel="0" collapsed="false">
      <c r="A87" s="3" t="s">
        <v>547</v>
      </c>
      <c r="C87" s="60" t="n">
        <f aca="false">C80-'Monthly PL Y1 Y2'!AB55</f>
        <v>0</v>
      </c>
      <c r="D87" s="60" t="n">
        <f aca="false">D80-'Monthly PL Y1 Y2'!AC55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2" min="2" style="1" width="10"/>
    <col collapsed="false" customWidth="true" hidden="false" outlineLevel="0" max="33" min="3" style="1" width="11.5"/>
  </cols>
  <sheetData>
    <row r="1" customFormat="false" ht="17.35" hidden="false" customHeight="false" outlineLevel="0" collapsed="false">
      <c r="A1" s="11" t="s">
        <v>30</v>
      </c>
    </row>
    <row r="2" customFormat="false" ht="15" hidden="false" customHeight="false" outlineLevel="0" collapsed="false">
      <c r="A2" s="3" t="str">
        <f aca="false">"Active scenario: "&amp;ScenarioName&amp;". Inventory cover, PO deposits, air then ocean lead times, 14 day payout lag, in transit stock funded by the business. Peak cash need, funding gap and runway below."</f>
        <v>Active scenario: Medium. Inventory cover, PO deposits, air then ocean lead times, 14 day payout lag, in transit stock funded by the business. Peak cash need, funding gap and runway below.</v>
      </c>
    </row>
    <row r="3" customFormat="false" ht="15" hidden="false" customHeight="false" outlineLevel="0" collapsed="false">
      <c r="A3" s="5" t="s">
        <v>548</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row>
    <row r="4" customFormat="false" ht="39.75" hidden="false" customHeight="true" outlineLevel="0" collapsed="false">
      <c r="A4" s="14" t="s">
        <v>444</v>
      </c>
      <c r="B4" s="14" t="s">
        <v>53</v>
      </c>
      <c r="C4" s="14" t="s">
        <v>445</v>
      </c>
      <c r="D4" s="14" t="s">
        <v>232</v>
      </c>
      <c r="E4" s="14" t="s">
        <v>234</v>
      </c>
      <c r="F4" s="14" t="s">
        <v>235</v>
      </c>
      <c r="G4" s="14" t="s">
        <v>236</v>
      </c>
      <c r="H4" s="14" t="s">
        <v>237</v>
      </c>
      <c r="I4" s="14" t="s">
        <v>238</v>
      </c>
      <c r="J4" s="14" t="s">
        <v>239</v>
      </c>
      <c r="K4" s="14" t="s">
        <v>240</v>
      </c>
      <c r="L4" s="14" t="s">
        <v>241</v>
      </c>
      <c r="M4" s="14" t="s">
        <v>242</v>
      </c>
      <c r="N4" s="14" t="s">
        <v>243</v>
      </c>
      <c r="O4" s="14" t="s">
        <v>244</v>
      </c>
      <c r="P4" s="14" t="s">
        <v>245</v>
      </c>
      <c r="Q4" s="14" t="s">
        <v>246</v>
      </c>
      <c r="R4" s="14" t="s">
        <v>247</v>
      </c>
      <c r="S4" s="14" t="s">
        <v>248</v>
      </c>
      <c r="T4" s="14" t="s">
        <v>249</v>
      </c>
      <c r="U4" s="14" t="s">
        <v>250</v>
      </c>
      <c r="V4" s="14" t="s">
        <v>251</v>
      </c>
      <c r="W4" s="14" t="s">
        <v>253</v>
      </c>
      <c r="X4" s="14" t="s">
        <v>254</v>
      </c>
      <c r="Y4" s="14" t="s">
        <v>255</v>
      </c>
      <c r="Z4" s="14" t="s">
        <v>256</v>
      </c>
      <c r="AA4" s="14" t="s">
        <v>257</v>
      </c>
      <c r="AB4" s="39" t="s">
        <v>549</v>
      </c>
      <c r="AC4" s="39" t="s">
        <v>550</v>
      </c>
      <c r="AD4" s="39" t="s">
        <v>551</v>
      </c>
      <c r="AE4" s="39" t="s">
        <v>552</v>
      </c>
      <c r="AF4" s="39" t="s">
        <v>553</v>
      </c>
      <c r="AG4" s="39" t="s">
        <v>554</v>
      </c>
    </row>
    <row r="5" customFormat="false" ht="15" hidden="false" customHeight="false" outlineLevel="0" collapsed="false">
      <c r="A5" s="3" t="s">
        <v>448</v>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c r="X5" s="30" t="n">
        <v>21</v>
      </c>
      <c r="Y5" s="30" t="n">
        <v>22</v>
      </c>
      <c r="Z5" s="30" t="n">
        <v>23</v>
      </c>
      <c r="AA5" s="30" t="n">
        <v>24</v>
      </c>
      <c r="AB5" s="30" t="n">
        <v>25</v>
      </c>
      <c r="AC5" s="30" t="n">
        <v>26</v>
      </c>
      <c r="AD5" s="30" t="n">
        <v>27</v>
      </c>
      <c r="AE5" s="30" t="n">
        <v>28</v>
      </c>
      <c r="AF5" s="30" t="n">
        <v>29</v>
      </c>
      <c r="AG5" s="30" t="n">
        <v>30</v>
      </c>
    </row>
    <row r="6" customFormat="false" ht="15" hidden="false" customHeight="false" outlineLevel="0" collapsed="false">
      <c r="A6" s="9" t="s">
        <v>555</v>
      </c>
    </row>
    <row r="7" customFormat="false" ht="15" hidden="false" customHeight="false" outlineLevel="0" collapsed="false">
      <c r="A7" s="3" t="s">
        <v>556</v>
      </c>
      <c r="B7" s="3" t="s">
        <v>95</v>
      </c>
      <c r="C7" s="31" t="n">
        <f aca="false">0</f>
        <v>0</v>
      </c>
      <c r="D7" s="62" t="n">
        <f aca="false">'Monthly PL Y1 Y2'!D7+'Monthly PL Y1 Y2'!D37+'Monthly PL Y1 Y2'!D45</f>
        <v>150</v>
      </c>
      <c r="E7" s="62" t="n">
        <f aca="false">'Monthly PL Y1 Y2'!E7+'Monthly PL Y1 Y2'!E37+'Monthly PL Y1 Y2'!E45</f>
        <v>240</v>
      </c>
      <c r="F7" s="62" t="n">
        <f aca="false">'Monthly PL Y1 Y2'!F7+'Monthly PL Y1 Y2'!F37+'Monthly PL Y1 Y2'!F45</f>
        <v>360</v>
      </c>
      <c r="G7" s="62" t="n">
        <f aca="false">'Monthly PL Y1 Y2'!G7+'Monthly PL Y1 Y2'!G37+'Monthly PL Y1 Y2'!G45</f>
        <v>500</v>
      </c>
      <c r="H7" s="62" t="n">
        <f aca="false">'Monthly PL Y1 Y2'!H7+'Monthly PL Y1 Y2'!H37+'Monthly PL Y1 Y2'!H45</f>
        <v>650</v>
      </c>
      <c r="I7" s="62" t="n">
        <f aca="false">'Monthly PL Y1 Y2'!I7+'Monthly PL Y1 Y2'!I37+'Monthly PL Y1 Y2'!I45</f>
        <v>820</v>
      </c>
      <c r="J7" s="62" t="n">
        <f aca="false">'Monthly PL Y1 Y2'!J7+'Monthly PL Y1 Y2'!J37+'Monthly PL Y1 Y2'!J45</f>
        <v>1000</v>
      </c>
      <c r="K7" s="62" t="n">
        <f aca="false">'Monthly PL Y1 Y2'!K7+'Monthly PL Y1 Y2'!K37+'Monthly PL Y1 Y2'!K45</f>
        <v>1200</v>
      </c>
      <c r="L7" s="62" t="n">
        <f aca="false">'Monthly PL Y1 Y2'!L7+'Monthly PL Y1 Y2'!L37+'Monthly PL Y1 Y2'!L45</f>
        <v>1400</v>
      </c>
      <c r="M7" s="62" t="n">
        <f aca="false">'Monthly PL Y1 Y2'!M7+'Monthly PL Y1 Y2'!M37+'Monthly PL Y1 Y2'!M45</f>
        <v>1600</v>
      </c>
      <c r="N7" s="62" t="n">
        <f aca="false">'Monthly PL Y1 Y2'!N7+'Monthly PL Y1 Y2'!N37+'Monthly PL Y1 Y2'!N45</f>
        <v>1800</v>
      </c>
      <c r="O7" s="62" t="n">
        <f aca="false">'Monthly PL Y1 Y2'!O7+'Monthly PL Y1 Y2'!O37+'Monthly PL Y1 Y2'!O45</f>
        <v>2050</v>
      </c>
      <c r="P7" s="62" t="n">
        <f aca="false">'Monthly PL Y1 Y2'!P7+'Monthly PL Y1 Y2'!P37+'Monthly PL Y1 Y2'!P45</f>
        <v>2826.8253968254</v>
      </c>
      <c r="Q7" s="62" t="n">
        <f aca="false">'Monthly PL Y1 Y2'!Q7+'Monthly PL Y1 Y2'!Q37+'Monthly PL Y1 Y2'!Q45</f>
        <v>3042.8253968254</v>
      </c>
      <c r="R7" s="62" t="n">
        <f aca="false">'Monthly PL Y1 Y2'!R7+'Monthly PL Y1 Y2'!R37+'Monthly PL Y1 Y2'!R45</f>
        <v>3204.8253968254</v>
      </c>
      <c r="S7" s="62" t="n">
        <f aca="false">'Monthly PL Y1 Y2'!S7+'Monthly PL Y1 Y2'!S37+'Monthly PL Y1 Y2'!S45</f>
        <v>3366.8253968254</v>
      </c>
      <c r="T7" s="62" t="n">
        <f aca="false">'Monthly PL Y1 Y2'!T7+'Monthly PL Y1 Y2'!T37+'Monthly PL Y1 Y2'!T45</f>
        <v>3528.8253968254</v>
      </c>
      <c r="U7" s="62" t="n">
        <f aca="false">'Monthly PL Y1 Y2'!U7+'Monthly PL Y1 Y2'!U37+'Monthly PL Y1 Y2'!U45</f>
        <v>3690.8253968254</v>
      </c>
      <c r="V7" s="62" t="n">
        <f aca="false">'Monthly PL Y1 Y2'!V7+'Monthly PL Y1 Y2'!V37+'Monthly PL Y1 Y2'!V45</f>
        <v>3798.8253968254</v>
      </c>
      <c r="W7" s="62" t="n">
        <f aca="false">'Monthly PL Y1 Y2'!W7+'Monthly PL Y1 Y2'!W37+'Monthly PL Y1 Y2'!W45</f>
        <v>3906.8253968254</v>
      </c>
      <c r="X7" s="62" t="n">
        <f aca="false">'Monthly PL Y1 Y2'!X7+'Monthly PL Y1 Y2'!X37+'Monthly PL Y1 Y2'!X45</f>
        <v>4014.8253968254</v>
      </c>
      <c r="Y7" s="62" t="n">
        <f aca="false">'Monthly PL Y1 Y2'!Y7+'Monthly PL Y1 Y2'!Y37+'Monthly PL Y1 Y2'!Y45</f>
        <v>4122.8253968254</v>
      </c>
      <c r="Z7" s="62" t="n">
        <f aca="false">'Monthly PL Y1 Y2'!Z7+'Monthly PL Y1 Y2'!Z37+'Monthly PL Y1 Y2'!Z45</f>
        <v>4230.8253968254</v>
      </c>
      <c r="AA7" s="62" t="n">
        <f aca="false">'Monthly PL Y1 Y2'!AA7+'Monthly PL Y1 Y2'!AA37+'Monthly PL Y1 Y2'!AA45</f>
        <v>4338.8253968254</v>
      </c>
      <c r="AB7" s="62" t="n">
        <f aca="false">$AA7*(1+Assumptions!$F$37)</f>
        <v>5640.47301587302</v>
      </c>
      <c r="AC7" s="62" t="n">
        <f aca="false">$AA7*(1+Assumptions!$F$37)</f>
        <v>5640.47301587302</v>
      </c>
      <c r="AD7" s="62" t="n">
        <f aca="false">$AA7*(1+Assumptions!$F$37)</f>
        <v>5640.47301587302</v>
      </c>
      <c r="AE7" s="62" t="n">
        <f aca="false">$AA7*(1+Assumptions!$F$37)</f>
        <v>5640.47301587302</v>
      </c>
      <c r="AF7" s="62" t="n">
        <f aca="false">$AA7*(1+Assumptions!$F$37)</f>
        <v>5640.47301587302</v>
      </c>
      <c r="AG7" s="62" t="n">
        <f aca="false">$AA7*(1+Assumptions!$F$37)</f>
        <v>5640.47301587302</v>
      </c>
    </row>
    <row r="8" customFormat="false" ht="15" hidden="false" customHeight="false" outlineLevel="0" collapsed="false">
      <c r="A8" s="3" t="s">
        <v>557</v>
      </c>
      <c r="B8" s="3" t="s">
        <v>454</v>
      </c>
      <c r="D8" s="35" t="n">
        <f aca="false">'Monthly PL Y1 Y2'!D30*'Monthly PL Y1 Y2'!D8</f>
        <v>15.96</v>
      </c>
      <c r="E8" s="35" t="n">
        <f aca="false">'Monthly PL Y1 Y2'!E30*'Monthly PL Y1 Y2'!E8</f>
        <v>15.96</v>
      </c>
      <c r="F8" s="35" t="n">
        <f aca="false">'Monthly PL Y1 Y2'!F30*'Monthly PL Y1 Y2'!F8</f>
        <v>15.96</v>
      </c>
      <c r="G8" s="35" t="n">
        <f aca="false">'Monthly PL Y1 Y2'!G30*'Monthly PL Y1 Y2'!G8</f>
        <v>15.96</v>
      </c>
      <c r="H8" s="35" t="n">
        <f aca="false">'Monthly PL Y1 Y2'!H30*'Monthly PL Y1 Y2'!H8</f>
        <v>15.96</v>
      </c>
      <c r="I8" s="35" t="n">
        <f aca="false">'Monthly PL Y1 Y2'!I30*'Monthly PL Y1 Y2'!I8</f>
        <v>15.96</v>
      </c>
      <c r="J8" s="35" t="n">
        <f aca="false">'Monthly PL Y1 Y2'!J30*'Monthly PL Y1 Y2'!J8</f>
        <v>15.96</v>
      </c>
      <c r="K8" s="35" t="n">
        <f aca="false">'Monthly PL Y1 Y2'!K30*'Monthly PL Y1 Y2'!K8</f>
        <v>15.96</v>
      </c>
      <c r="L8" s="35" t="n">
        <f aca="false">'Monthly PL Y1 Y2'!L30*'Monthly PL Y1 Y2'!L8</f>
        <v>15.96</v>
      </c>
      <c r="M8" s="35" t="n">
        <f aca="false">'Monthly PL Y1 Y2'!M30*'Monthly PL Y1 Y2'!M8</f>
        <v>15.96</v>
      </c>
      <c r="N8" s="35" t="n">
        <f aca="false">'Monthly PL Y1 Y2'!N30*'Monthly PL Y1 Y2'!N8</f>
        <v>15.96</v>
      </c>
      <c r="O8" s="35" t="n">
        <f aca="false">'Monthly PL Y1 Y2'!O30*'Monthly PL Y1 Y2'!O8</f>
        <v>15.96</v>
      </c>
      <c r="P8" s="35" t="n">
        <f aca="false">'Monthly PL Y1 Y2'!P30*'Monthly PL Y1 Y2'!P8</f>
        <v>15.96</v>
      </c>
      <c r="Q8" s="35" t="n">
        <f aca="false">'Monthly PL Y1 Y2'!Q30*'Monthly PL Y1 Y2'!Q8</f>
        <v>15.96</v>
      </c>
      <c r="R8" s="35" t="n">
        <f aca="false">'Monthly PL Y1 Y2'!R30*'Monthly PL Y1 Y2'!R8</f>
        <v>15.96</v>
      </c>
      <c r="S8" s="35" t="n">
        <f aca="false">'Monthly PL Y1 Y2'!S30*'Monthly PL Y1 Y2'!S8</f>
        <v>15.96</v>
      </c>
      <c r="T8" s="35" t="n">
        <f aca="false">'Monthly PL Y1 Y2'!T30*'Monthly PL Y1 Y2'!T8</f>
        <v>15.96</v>
      </c>
      <c r="U8" s="35" t="n">
        <f aca="false">'Monthly PL Y1 Y2'!U30*'Monthly PL Y1 Y2'!U8</f>
        <v>15.96</v>
      </c>
      <c r="V8" s="35" t="n">
        <f aca="false">'Monthly PL Y1 Y2'!V30*'Monthly PL Y1 Y2'!V8</f>
        <v>15.33</v>
      </c>
      <c r="W8" s="35" t="n">
        <f aca="false">'Monthly PL Y1 Y2'!W30*'Monthly PL Y1 Y2'!W8</f>
        <v>15.33</v>
      </c>
      <c r="X8" s="35" t="n">
        <f aca="false">'Monthly PL Y1 Y2'!X30*'Monthly PL Y1 Y2'!X8</f>
        <v>15.33</v>
      </c>
      <c r="Y8" s="35" t="n">
        <f aca="false">'Monthly PL Y1 Y2'!Y30*'Monthly PL Y1 Y2'!Y8</f>
        <v>15.33</v>
      </c>
      <c r="Z8" s="35" t="n">
        <f aca="false">'Monthly PL Y1 Y2'!Z30*'Monthly PL Y1 Y2'!Z8</f>
        <v>15.33</v>
      </c>
      <c r="AA8" s="35" t="n">
        <f aca="false">'Monthly PL Y1 Y2'!AA30*'Monthly PL Y1 Y2'!AA8</f>
        <v>15.33</v>
      </c>
      <c r="AB8" s="40" t="n">
        <f aca="false">$AA8</f>
        <v>15.33</v>
      </c>
      <c r="AC8" s="40" t="n">
        <f aca="false">$AA8</f>
        <v>15.33</v>
      </c>
      <c r="AD8" s="40" t="n">
        <f aca="false">$AA8</f>
        <v>15.33</v>
      </c>
      <c r="AE8" s="40" t="n">
        <f aca="false">$AA8</f>
        <v>15.33</v>
      </c>
      <c r="AF8" s="40" t="n">
        <f aca="false">$AA8</f>
        <v>15.33</v>
      </c>
      <c r="AG8" s="40" t="n">
        <f aca="false">$AA8</f>
        <v>15.33</v>
      </c>
    </row>
    <row r="9" customFormat="false" ht="15" hidden="false" customHeight="false" outlineLevel="0" collapsed="false">
      <c r="A9" s="3" t="s">
        <v>558</v>
      </c>
      <c r="B9" s="3" t="s">
        <v>454</v>
      </c>
      <c r="D9" s="40" t="n">
        <f aca="false">HeroFobUsd</f>
        <v>7.3793006993007</v>
      </c>
      <c r="E9" s="40" t="n">
        <f aca="false">HeroFobUsd</f>
        <v>7.3793006993007</v>
      </c>
      <c r="F9" s="40" t="n">
        <f aca="false">HeroFobUsd</f>
        <v>7.3793006993007</v>
      </c>
      <c r="G9" s="40" t="n">
        <f aca="false">HeroFobUsd</f>
        <v>7.3793006993007</v>
      </c>
      <c r="H9" s="40" t="n">
        <f aca="false">HeroFobUsd</f>
        <v>7.3793006993007</v>
      </c>
      <c r="I9" s="40" t="n">
        <f aca="false">HeroFobUsd</f>
        <v>7.3793006993007</v>
      </c>
      <c r="J9" s="40" t="n">
        <f aca="false">HeroFobUsd</f>
        <v>7.3793006993007</v>
      </c>
      <c r="K9" s="40" t="n">
        <f aca="false">HeroFobUsd</f>
        <v>7.3793006993007</v>
      </c>
      <c r="L9" s="40" t="n">
        <f aca="false">HeroFobUsd</f>
        <v>7.3793006993007</v>
      </c>
      <c r="M9" s="40" t="n">
        <f aca="false">HeroFobUsd</f>
        <v>7.3793006993007</v>
      </c>
      <c r="N9" s="40" t="n">
        <f aca="false">HeroFobUsd</f>
        <v>7.3793006993007</v>
      </c>
      <c r="O9" s="40" t="n">
        <f aca="false">HeroFobUsd</f>
        <v>7.3793006993007</v>
      </c>
      <c r="P9" s="40" t="n">
        <f aca="false">HeroFobUsd</f>
        <v>7.3793006993007</v>
      </c>
      <c r="Q9" s="40" t="n">
        <f aca="false">HeroFobUsd</f>
        <v>7.3793006993007</v>
      </c>
      <c r="R9" s="40" t="n">
        <f aca="false">HeroFobUsd</f>
        <v>7.3793006993007</v>
      </c>
      <c r="S9" s="40" t="n">
        <f aca="false">HeroFobUsd</f>
        <v>7.3793006993007</v>
      </c>
      <c r="T9" s="40" t="n">
        <f aca="false">HeroFobUsd</f>
        <v>7.3793006993007</v>
      </c>
      <c r="U9" s="40" t="n">
        <f aca="false">HeroFobUsd</f>
        <v>7.3793006993007</v>
      </c>
      <c r="V9" s="40" t="n">
        <f aca="false">HeroFobUsd</f>
        <v>7.3793006993007</v>
      </c>
      <c r="W9" s="40" t="n">
        <f aca="false">HeroFobUsd</f>
        <v>7.3793006993007</v>
      </c>
      <c r="X9" s="40" t="n">
        <f aca="false">HeroFobUsd</f>
        <v>7.3793006993007</v>
      </c>
      <c r="Y9" s="40" t="n">
        <f aca="false">HeroFobUsd</f>
        <v>7.3793006993007</v>
      </c>
      <c r="Z9" s="40" t="n">
        <f aca="false">HeroFobUsd</f>
        <v>7.3793006993007</v>
      </c>
      <c r="AA9" s="40" t="n">
        <f aca="false">HeroFobUsd</f>
        <v>7.3793006993007</v>
      </c>
      <c r="AB9" s="40" t="n">
        <f aca="false">HeroFobUsd</f>
        <v>7.3793006993007</v>
      </c>
      <c r="AC9" s="40" t="n">
        <f aca="false">HeroFobUsd</f>
        <v>7.3793006993007</v>
      </c>
      <c r="AD9" s="40" t="n">
        <f aca="false">HeroFobUsd</f>
        <v>7.3793006993007</v>
      </c>
      <c r="AE9" s="40" t="n">
        <f aca="false">HeroFobUsd</f>
        <v>7.3793006993007</v>
      </c>
      <c r="AF9" s="40" t="n">
        <f aca="false">HeroFobUsd</f>
        <v>7.3793006993007</v>
      </c>
      <c r="AG9" s="40" t="n">
        <f aca="false">HeroFobUsd</f>
        <v>7.3793006993007</v>
      </c>
    </row>
    <row r="10" customFormat="false" ht="15" hidden="false" customHeight="false" outlineLevel="0" collapsed="false">
      <c r="A10" s="3" t="s">
        <v>559</v>
      </c>
      <c r="B10" s="3" t="s">
        <v>454</v>
      </c>
      <c r="D10" s="40" t="n">
        <f aca="false">D8-D9</f>
        <v>8.5806993006993</v>
      </c>
      <c r="E10" s="40" t="n">
        <f aca="false">E8-E9</f>
        <v>8.5806993006993</v>
      </c>
      <c r="F10" s="40" t="n">
        <f aca="false">F8-F9</f>
        <v>8.5806993006993</v>
      </c>
      <c r="G10" s="40" t="n">
        <f aca="false">G8-G9</f>
        <v>8.5806993006993</v>
      </c>
      <c r="H10" s="40" t="n">
        <f aca="false">H8-H9</f>
        <v>8.5806993006993</v>
      </c>
      <c r="I10" s="40" t="n">
        <f aca="false">I8-I9</f>
        <v>8.5806993006993</v>
      </c>
      <c r="J10" s="40" t="n">
        <f aca="false">J8-J9</f>
        <v>8.5806993006993</v>
      </c>
      <c r="K10" s="40" t="n">
        <f aca="false">K8-K9</f>
        <v>8.5806993006993</v>
      </c>
      <c r="L10" s="40" t="n">
        <f aca="false">L8-L9</f>
        <v>8.5806993006993</v>
      </c>
      <c r="M10" s="40" t="n">
        <f aca="false">M8-M9</f>
        <v>8.5806993006993</v>
      </c>
      <c r="N10" s="40" t="n">
        <f aca="false">N8-N9</f>
        <v>8.5806993006993</v>
      </c>
      <c r="O10" s="40" t="n">
        <f aca="false">O8-O9</f>
        <v>8.5806993006993</v>
      </c>
      <c r="P10" s="40" t="n">
        <f aca="false">P8-P9</f>
        <v>8.5806993006993</v>
      </c>
      <c r="Q10" s="40" t="n">
        <f aca="false">Q8-Q9</f>
        <v>8.5806993006993</v>
      </c>
      <c r="R10" s="40" t="n">
        <f aca="false">R8-R9</f>
        <v>8.5806993006993</v>
      </c>
      <c r="S10" s="40" t="n">
        <f aca="false">S8-S9</f>
        <v>8.5806993006993</v>
      </c>
      <c r="T10" s="40" t="n">
        <f aca="false">T8-T9</f>
        <v>8.5806993006993</v>
      </c>
      <c r="U10" s="40" t="n">
        <f aca="false">U8-U9</f>
        <v>8.5806993006993</v>
      </c>
      <c r="V10" s="40" t="n">
        <f aca="false">V8-V9</f>
        <v>7.9506993006993</v>
      </c>
      <c r="W10" s="40" t="n">
        <f aca="false">W8-W9</f>
        <v>7.9506993006993</v>
      </c>
      <c r="X10" s="40" t="n">
        <f aca="false">X8-X9</f>
        <v>7.9506993006993</v>
      </c>
      <c r="Y10" s="40" t="n">
        <f aca="false">Y8-Y9</f>
        <v>7.9506993006993</v>
      </c>
      <c r="Z10" s="40" t="n">
        <f aca="false">Z8-Z9</f>
        <v>7.9506993006993</v>
      </c>
      <c r="AA10" s="40" t="n">
        <f aca="false">AA8-AA9</f>
        <v>7.9506993006993</v>
      </c>
      <c r="AB10" s="40" t="n">
        <f aca="false">AB8-AB9</f>
        <v>7.9506993006993</v>
      </c>
      <c r="AC10" s="40" t="n">
        <f aca="false">AC8-AC9</f>
        <v>7.9506993006993</v>
      </c>
      <c r="AD10" s="40" t="n">
        <f aca="false">AD8-AD9</f>
        <v>7.9506993006993</v>
      </c>
      <c r="AE10" s="40" t="n">
        <f aca="false">AE8-AE9</f>
        <v>7.9506993006993</v>
      </c>
      <c r="AF10" s="40" t="n">
        <f aca="false">AF8-AF9</f>
        <v>7.9506993006993</v>
      </c>
      <c r="AG10" s="40" t="n">
        <f aca="false">AG8-AG9</f>
        <v>7.9506993006993</v>
      </c>
    </row>
    <row r="11" customFormat="false" ht="15" hidden="false" customHeight="false" outlineLevel="0" collapsed="false">
      <c r="A11" s="3" t="s">
        <v>560</v>
      </c>
      <c r="B11" s="3" t="s">
        <v>95</v>
      </c>
      <c r="D11" s="62" t="n">
        <f aca="false">Assumptions!$F$101*AVERAGE(E7:G7)</f>
        <v>916.666666666667</v>
      </c>
      <c r="E11" s="62" t="n">
        <f aca="false">Assumptions!$F$101*AVERAGE(F7:H7)</f>
        <v>1258.33333333333</v>
      </c>
      <c r="F11" s="62" t="n">
        <f aca="false">Assumptions!$F$101*AVERAGE(G7:I7)</f>
        <v>1641.66666666667</v>
      </c>
      <c r="G11" s="62" t="n">
        <f aca="false">Assumptions!$F$101*AVERAGE(H7:J7)</f>
        <v>2058.33333333333</v>
      </c>
      <c r="H11" s="62" t="n">
        <f aca="false">Assumptions!$F$101*AVERAGE(I7:K7)</f>
        <v>2516.66666666667</v>
      </c>
      <c r="I11" s="62" t="n">
        <f aca="false">Assumptions!$F$101*AVERAGE(J7:L7)</f>
        <v>3000</v>
      </c>
      <c r="J11" s="62" t="n">
        <f aca="false">Assumptions!$F$101*AVERAGE(K7:M7)</f>
        <v>3500</v>
      </c>
      <c r="K11" s="62" t="n">
        <f aca="false">Assumptions!$F$101*AVERAGE(L7:N7)</f>
        <v>4000</v>
      </c>
      <c r="L11" s="62" t="n">
        <f aca="false">Assumptions!$F$101*AVERAGE(M7:O7)</f>
        <v>4541.66666666667</v>
      </c>
      <c r="M11" s="62" t="n">
        <f aca="false">Assumptions!$F$101*AVERAGE(N7:P7)</f>
        <v>5564.02116402116</v>
      </c>
      <c r="N11" s="62" t="n">
        <f aca="false">Assumptions!$F$101*AVERAGE(O7:Q7)</f>
        <v>6599.70899470899</v>
      </c>
      <c r="O11" s="62" t="n">
        <f aca="false">Assumptions!$F$101*AVERAGE(P7:R7)</f>
        <v>7562.06349206349</v>
      </c>
      <c r="P11" s="62" t="n">
        <f aca="false">Assumptions!$F$101*AVERAGE(Q7:S7)</f>
        <v>8012.06349206349</v>
      </c>
      <c r="Q11" s="62" t="n">
        <f aca="false">Assumptions!$F$101*AVERAGE(R7:T7)</f>
        <v>8417.06349206349</v>
      </c>
      <c r="R11" s="62" t="n">
        <f aca="false">Assumptions!$F$101*AVERAGE(S7:U7)</f>
        <v>8822.06349206349</v>
      </c>
      <c r="S11" s="62" t="n">
        <f aca="false">Assumptions!$F$101*AVERAGE(T7:V7)</f>
        <v>9182.06349206349</v>
      </c>
      <c r="T11" s="62" t="n">
        <f aca="false">Assumptions!$F$101*AVERAGE(U7:W7)</f>
        <v>9497.06349206349</v>
      </c>
      <c r="U11" s="62" t="n">
        <f aca="false">Assumptions!$F$101*AVERAGE(V7:X7)</f>
        <v>9767.06349206349</v>
      </c>
      <c r="V11" s="62" t="n">
        <f aca="false">Assumptions!$F$101*AVERAGE(W7:Y7)</f>
        <v>10037.0634920635</v>
      </c>
      <c r="W11" s="62" t="n">
        <f aca="false">Assumptions!$F$101*AVERAGE(X7:Z7)</f>
        <v>10307.0634920635</v>
      </c>
      <c r="X11" s="62" t="n">
        <f aca="false">Assumptions!$F$101*AVERAGE(Y7:AA7)</f>
        <v>10577.0634920635</v>
      </c>
      <c r="Y11" s="62" t="n">
        <f aca="false">Assumptions!$F$101*AVERAGE(Z7:AB7)</f>
        <v>11841.7698412698</v>
      </c>
      <c r="Z11" s="62" t="n">
        <f aca="false">Assumptions!$F$101*AVERAGE(AA7:AC7)</f>
        <v>13016.4761904762</v>
      </c>
      <c r="AA11" s="62" t="n">
        <f aca="false">Assumptions!$F$101*AVERAGE(AB7:AD7)</f>
        <v>14101.1825396825</v>
      </c>
      <c r="AB11" s="62" t="n">
        <f aca="false">Assumptions!$F$101*AVERAGE(AC7:AE7)</f>
        <v>14101.1825396825</v>
      </c>
      <c r="AC11" s="62" t="n">
        <f aca="false">Assumptions!$F$101*AVERAGE(AD7:AF7)</f>
        <v>14101.1825396825</v>
      </c>
    </row>
    <row r="12" customFormat="false" ht="15" hidden="false" customHeight="false" outlineLevel="0" collapsed="false">
      <c r="A12" s="3" t="s">
        <v>561</v>
      </c>
      <c r="B12" s="3" t="s">
        <v>95</v>
      </c>
      <c r="D12" s="31" t="n">
        <f aca="false">0</f>
        <v>0</v>
      </c>
      <c r="E12" s="31" t="n">
        <f aca="false">D14</f>
        <v>916.666666666667</v>
      </c>
      <c r="F12" s="31" t="n">
        <f aca="false">E14</f>
        <v>1258.33333333333</v>
      </c>
      <c r="G12" s="31" t="n">
        <f aca="false">F14</f>
        <v>1641.66666666667</v>
      </c>
      <c r="H12" s="31" t="n">
        <f aca="false">G14</f>
        <v>2058.33333333333</v>
      </c>
      <c r="I12" s="31" t="n">
        <f aca="false">H14</f>
        <v>2516.66666666667</v>
      </c>
      <c r="J12" s="31" t="n">
        <f aca="false">I14</f>
        <v>3000</v>
      </c>
      <c r="K12" s="31" t="n">
        <f aca="false">J14</f>
        <v>3500</v>
      </c>
      <c r="L12" s="31" t="n">
        <f aca="false">K14</f>
        <v>4000</v>
      </c>
      <c r="M12" s="31" t="n">
        <f aca="false">L14</f>
        <v>4541.66666666667</v>
      </c>
      <c r="N12" s="31" t="n">
        <f aca="false">M14</f>
        <v>5564.02116402116</v>
      </c>
      <c r="O12" s="31" t="n">
        <f aca="false">N14</f>
        <v>6599.708994709</v>
      </c>
      <c r="P12" s="31" t="n">
        <f aca="false">O14</f>
        <v>7562.06349206349</v>
      </c>
      <c r="Q12" s="31" t="n">
        <f aca="false">P14</f>
        <v>8012.06349206349</v>
      </c>
      <c r="R12" s="31" t="n">
        <f aca="false">Q14</f>
        <v>8417.0634920635</v>
      </c>
      <c r="S12" s="31" t="n">
        <f aca="false">R14</f>
        <v>8822.0634920635</v>
      </c>
      <c r="T12" s="31" t="n">
        <f aca="false">S14</f>
        <v>9182.0634920635</v>
      </c>
      <c r="U12" s="31" t="n">
        <f aca="false">T14</f>
        <v>9497.0634920635</v>
      </c>
      <c r="V12" s="31" t="n">
        <f aca="false">U14</f>
        <v>9767.0634920635</v>
      </c>
      <c r="W12" s="31" t="n">
        <f aca="false">V14</f>
        <v>10037.0634920635</v>
      </c>
      <c r="X12" s="31" t="n">
        <f aca="false">W14</f>
        <v>10307.0634920635</v>
      </c>
      <c r="Y12" s="31" t="n">
        <f aca="false">X14</f>
        <v>10577.0634920635</v>
      </c>
      <c r="Z12" s="31" t="n">
        <f aca="false">Y14</f>
        <v>11841.7698412698</v>
      </c>
      <c r="AA12" s="31" t="n">
        <f aca="false">Z14</f>
        <v>13016.4761904762</v>
      </c>
      <c r="AB12" s="31" t="n">
        <f aca="false">AA14</f>
        <v>14101.1825396825</v>
      </c>
      <c r="AC12" s="31" t="n">
        <f aca="false">AB14</f>
        <v>14101.1825396825</v>
      </c>
    </row>
    <row r="13" customFormat="false" ht="15" hidden="false" customHeight="false" outlineLevel="0" collapsed="false">
      <c r="A13" s="9" t="s">
        <v>562</v>
      </c>
      <c r="B13" s="3" t="s">
        <v>95</v>
      </c>
      <c r="D13" s="24" t="n">
        <f aca="false">MAX(0,D11-(D12-D7))</f>
        <v>1066.66666666667</v>
      </c>
      <c r="E13" s="24" t="n">
        <f aca="false">MAX(0,E11-(E12-E7))</f>
        <v>581.666666666667</v>
      </c>
      <c r="F13" s="24" t="n">
        <f aca="false">MAX(0,F11-(F12-F7))</f>
        <v>743.333333333333</v>
      </c>
      <c r="G13" s="24" t="n">
        <f aca="false">MAX(0,G11-(G12-G7))</f>
        <v>916.666666666667</v>
      </c>
      <c r="H13" s="24" t="n">
        <f aca="false">MAX(0,H11-(H12-H7))</f>
        <v>1108.33333333333</v>
      </c>
      <c r="I13" s="24" t="n">
        <f aca="false">MAX(0,I11-(I12-I7))</f>
        <v>1303.33333333333</v>
      </c>
      <c r="J13" s="24" t="n">
        <f aca="false">MAX(0,J11-(J12-J7))</f>
        <v>1500</v>
      </c>
      <c r="K13" s="24" t="n">
        <f aca="false">MAX(0,K11-(K12-K7))</f>
        <v>1700</v>
      </c>
      <c r="L13" s="24" t="n">
        <f aca="false">MAX(0,L11-(L12-L7))</f>
        <v>1941.66666666667</v>
      </c>
      <c r="M13" s="24" t="n">
        <f aca="false">MAX(0,M11-(M12-M7))</f>
        <v>2622.3544973545</v>
      </c>
      <c r="N13" s="24" t="n">
        <f aca="false">MAX(0,N11-(N12-N7))</f>
        <v>2835.68783068783</v>
      </c>
      <c r="O13" s="24" t="n">
        <f aca="false">MAX(0,O11-(O12-O7))</f>
        <v>3012.3544973545</v>
      </c>
      <c r="P13" s="24" t="n">
        <f aca="false">MAX(0,P11-(P12-P7))</f>
        <v>3276.8253968254</v>
      </c>
      <c r="Q13" s="24" t="n">
        <f aca="false">MAX(0,Q11-(Q12-Q7))</f>
        <v>3447.8253968254</v>
      </c>
      <c r="R13" s="24" t="n">
        <f aca="false">MAX(0,R11-(R12-R7))</f>
        <v>3609.8253968254</v>
      </c>
      <c r="S13" s="24" t="n">
        <f aca="false">MAX(0,S11-(S12-S7))</f>
        <v>3726.8253968254</v>
      </c>
      <c r="T13" s="24" t="n">
        <f aca="false">MAX(0,T11-(T12-T7))</f>
        <v>3843.8253968254</v>
      </c>
      <c r="U13" s="24" t="n">
        <f aca="false">MAX(0,U11-(U12-U7))</f>
        <v>3960.8253968254</v>
      </c>
      <c r="V13" s="24" t="n">
        <f aca="false">MAX(0,V11-(V12-V7))</f>
        <v>4068.8253968254</v>
      </c>
      <c r="W13" s="24" t="n">
        <f aca="false">MAX(0,W11-(W12-W7))</f>
        <v>4176.82539682539</v>
      </c>
      <c r="X13" s="24" t="n">
        <f aca="false">MAX(0,X11-(X12-X7))</f>
        <v>4284.8253968254</v>
      </c>
      <c r="Y13" s="24" t="n">
        <f aca="false">MAX(0,Y11-(Y12-Y7))</f>
        <v>5387.53174603175</v>
      </c>
      <c r="Z13" s="24" t="n">
        <f aca="false">MAX(0,Z11-(Z12-Z7))</f>
        <v>5405.53174603175</v>
      </c>
      <c r="AA13" s="24" t="n">
        <f aca="false">MAX(0,AA11-(AA12-AA7))</f>
        <v>5423.53174603175</v>
      </c>
      <c r="AB13" s="24" t="n">
        <f aca="false">MAX(0,AB11-(AB12-AB7))</f>
        <v>5640.47301587302</v>
      </c>
      <c r="AC13" s="24" t="n">
        <f aca="false">MAX(0,AC11-(AC12-AC7))</f>
        <v>5640.47301587302</v>
      </c>
    </row>
    <row r="14" customFormat="false" ht="15" hidden="false" customHeight="false" outlineLevel="0" collapsed="false">
      <c r="A14" s="3" t="s">
        <v>563</v>
      </c>
      <c r="B14" s="3" t="s">
        <v>95</v>
      </c>
      <c r="D14" s="31" t="n">
        <f aca="false">D12+D13-D7</f>
        <v>916.666666666667</v>
      </c>
      <c r="E14" s="31" t="n">
        <f aca="false">E12+E13-E7</f>
        <v>1258.33333333333</v>
      </c>
      <c r="F14" s="31" t="n">
        <f aca="false">F12+F13-F7</f>
        <v>1641.66666666667</v>
      </c>
      <c r="G14" s="31" t="n">
        <f aca="false">G12+G13-G7</f>
        <v>2058.33333333333</v>
      </c>
      <c r="H14" s="31" t="n">
        <f aca="false">H12+H13-H7</f>
        <v>2516.66666666667</v>
      </c>
      <c r="I14" s="31" t="n">
        <f aca="false">I12+I13-I7</f>
        <v>3000</v>
      </c>
      <c r="J14" s="31" t="n">
        <f aca="false">J12+J13-J7</f>
        <v>3500</v>
      </c>
      <c r="K14" s="31" t="n">
        <f aca="false">K12+K13-K7</f>
        <v>4000</v>
      </c>
      <c r="L14" s="31" t="n">
        <f aca="false">L12+L13-L7</f>
        <v>4541.66666666667</v>
      </c>
      <c r="M14" s="31" t="n">
        <f aca="false">M12+M13-M7</f>
        <v>5564.02116402116</v>
      </c>
      <c r="N14" s="31" t="n">
        <f aca="false">N12+N13-N7</f>
        <v>6599.708994709</v>
      </c>
      <c r="O14" s="31" t="n">
        <f aca="false">O12+O13-O7</f>
        <v>7562.06349206349</v>
      </c>
      <c r="P14" s="31" t="n">
        <f aca="false">P12+P13-P7</f>
        <v>8012.06349206349</v>
      </c>
      <c r="Q14" s="31" t="n">
        <f aca="false">Q12+Q13-Q7</f>
        <v>8417.0634920635</v>
      </c>
      <c r="R14" s="31" t="n">
        <f aca="false">R12+R13-R7</f>
        <v>8822.0634920635</v>
      </c>
      <c r="S14" s="31" t="n">
        <f aca="false">S12+S13-S7</f>
        <v>9182.0634920635</v>
      </c>
      <c r="T14" s="31" t="n">
        <f aca="false">T12+T13-T7</f>
        <v>9497.0634920635</v>
      </c>
      <c r="U14" s="31" t="n">
        <f aca="false">U12+U13-U7</f>
        <v>9767.0634920635</v>
      </c>
      <c r="V14" s="31" t="n">
        <f aca="false">V12+V13-V7</f>
        <v>10037.0634920635</v>
      </c>
      <c r="W14" s="31" t="n">
        <f aca="false">W12+W13-W7</f>
        <v>10307.0634920635</v>
      </c>
      <c r="X14" s="31" t="n">
        <f aca="false">X12+X13-X7</f>
        <v>10577.0634920635</v>
      </c>
      <c r="Y14" s="31" t="n">
        <f aca="false">Y12+Y13-Y7</f>
        <v>11841.7698412698</v>
      </c>
      <c r="Z14" s="31" t="n">
        <f aca="false">Z12+Z13-Z7</f>
        <v>13016.4761904762</v>
      </c>
      <c r="AA14" s="31" t="n">
        <f aca="false">AA12+AA13-AA7</f>
        <v>14101.1825396825</v>
      </c>
      <c r="AB14" s="31" t="n">
        <f aca="false">AB12+AB13-AB7</f>
        <v>14101.1825396825</v>
      </c>
      <c r="AC14" s="31" t="n">
        <f aca="false">AC12+AC13-AC7</f>
        <v>14101.1825396825</v>
      </c>
    </row>
    <row r="15" customFormat="false" ht="15" hidden="false" customHeight="false" outlineLevel="0" collapsed="false">
      <c r="A15" s="3" t="s">
        <v>564</v>
      </c>
      <c r="B15" s="3" t="s">
        <v>186</v>
      </c>
      <c r="D15" s="66" t="n">
        <f aca="false">IF(D$5&gt;=Assumptions!$F$102,Assumptions!$F$104,Assumptions!$F$103)</f>
        <v>1</v>
      </c>
      <c r="E15" s="66" t="n">
        <f aca="false">IF(E$5&gt;=Assumptions!$F$102,Assumptions!$F$104,Assumptions!$F$103)</f>
        <v>1</v>
      </c>
      <c r="F15" s="66" t="n">
        <f aca="false">IF(F$5&gt;=Assumptions!$F$102,Assumptions!$F$104,Assumptions!$F$103)</f>
        <v>1</v>
      </c>
      <c r="G15" s="66" t="n">
        <f aca="false">IF(G$5&gt;=Assumptions!$F$102,Assumptions!$F$104,Assumptions!$F$103)</f>
        <v>1</v>
      </c>
      <c r="H15" s="66" t="n">
        <f aca="false">IF(H$5&gt;=Assumptions!$F$102,Assumptions!$F$104,Assumptions!$F$103)</f>
        <v>1</v>
      </c>
      <c r="I15" s="66" t="n">
        <f aca="false">IF(I$5&gt;=Assumptions!$F$102,Assumptions!$F$104,Assumptions!$F$103)</f>
        <v>1</v>
      </c>
      <c r="J15" s="66" t="n">
        <f aca="false">IF(J$5&gt;=Assumptions!$F$102,Assumptions!$F$104,Assumptions!$F$103)</f>
        <v>2</v>
      </c>
      <c r="K15" s="66" t="n">
        <f aca="false">IF(K$5&gt;=Assumptions!$F$102,Assumptions!$F$104,Assumptions!$F$103)</f>
        <v>2</v>
      </c>
      <c r="L15" s="66" t="n">
        <f aca="false">IF(L$5&gt;=Assumptions!$F$102,Assumptions!$F$104,Assumptions!$F$103)</f>
        <v>2</v>
      </c>
      <c r="M15" s="66" t="n">
        <f aca="false">IF(M$5&gt;=Assumptions!$F$102,Assumptions!$F$104,Assumptions!$F$103)</f>
        <v>2</v>
      </c>
      <c r="N15" s="66" t="n">
        <f aca="false">IF(N$5&gt;=Assumptions!$F$102,Assumptions!$F$104,Assumptions!$F$103)</f>
        <v>2</v>
      </c>
      <c r="O15" s="66" t="n">
        <f aca="false">IF(O$5&gt;=Assumptions!$F$102,Assumptions!$F$104,Assumptions!$F$103)</f>
        <v>2</v>
      </c>
      <c r="P15" s="66" t="n">
        <f aca="false">IF(P$5&gt;=Assumptions!$F$102,Assumptions!$F$104,Assumptions!$F$103)</f>
        <v>2</v>
      </c>
      <c r="Q15" s="66" t="n">
        <f aca="false">IF(Q$5&gt;=Assumptions!$F$102,Assumptions!$F$104,Assumptions!$F$103)</f>
        <v>2</v>
      </c>
      <c r="R15" s="66" t="n">
        <f aca="false">IF(R$5&gt;=Assumptions!$F$102,Assumptions!$F$104,Assumptions!$F$103)</f>
        <v>2</v>
      </c>
      <c r="S15" s="66" t="n">
        <f aca="false">IF(S$5&gt;=Assumptions!$F$102,Assumptions!$F$104,Assumptions!$F$103)</f>
        <v>2</v>
      </c>
      <c r="T15" s="66" t="n">
        <f aca="false">IF(T$5&gt;=Assumptions!$F$102,Assumptions!$F$104,Assumptions!$F$103)</f>
        <v>2</v>
      </c>
      <c r="U15" s="66" t="n">
        <f aca="false">IF(U$5&gt;=Assumptions!$F$102,Assumptions!$F$104,Assumptions!$F$103)</f>
        <v>2</v>
      </c>
      <c r="V15" s="66" t="n">
        <f aca="false">IF(V$5&gt;=Assumptions!$F$102,Assumptions!$F$104,Assumptions!$F$103)</f>
        <v>2</v>
      </c>
      <c r="W15" s="66" t="n">
        <f aca="false">IF(W$5&gt;=Assumptions!$F$102,Assumptions!$F$104,Assumptions!$F$103)</f>
        <v>2</v>
      </c>
      <c r="X15" s="66" t="n">
        <f aca="false">IF(X$5&gt;=Assumptions!$F$102,Assumptions!$F$104,Assumptions!$F$103)</f>
        <v>2</v>
      </c>
      <c r="Y15" s="66" t="n">
        <f aca="false">IF(Y$5&gt;=Assumptions!$F$102,Assumptions!$F$104,Assumptions!$F$103)</f>
        <v>2</v>
      </c>
      <c r="Z15" s="66" t="n">
        <f aca="false">IF(Z$5&gt;=Assumptions!$F$102,Assumptions!$F$104,Assumptions!$F$103)</f>
        <v>2</v>
      </c>
      <c r="AA15" s="66" t="n">
        <f aca="false">IF(AA$5&gt;=Assumptions!$F$102,Assumptions!$F$104,Assumptions!$F$103)</f>
        <v>2</v>
      </c>
      <c r="AB15" s="66" t="n">
        <f aca="false">IF(AB$5&gt;=Assumptions!$F$102,Assumptions!$F$104,Assumptions!$F$103)</f>
        <v>2</v>
      </c>
      <c r="AC15" s="66" t="n">
        <f aca="false">IF(AC$5&gt;=Assumptions!$F$102,Assumptions!$F$104,Assumptions!$F$103)</f>
        <v>2</v>
      </c>
    </row>
    <row r="16" customFormat="false" ht="15" hidden="false" customHeight="false" outlineLevel="0" collapsed="false">
      <c r="A16" s="3" t="s">
        <v>565</v>
      </c>
      <c r="B16" s="3" t="s">
        <v>90</v>
      </c>
      <c r="D16" s="30" t="n">
        <f aca="false">D$5-D15</f>
        <v>0</v>
      </c>
      <c r="E16" s="30" t="n">
        <f aca="false">E$5-E15</f>
        <v>1</v>
      </c>
      <c r="F16" s="30" t="n">
        <f aca="false">F$5-F15</f>
        <v>2</v>
      </c>
      <c r="G16" s="30" t="n">
        <f aca="false">G$5-G15</f>
        <v>3</v>
      </c>
      <c r="H16" s="30" t="n">
        <f aca="false">H$5-H15</f>
        <v>4</v>
      </c>
      <c r="I16" s="30" t="n">
        <f aca="false">I$5-I15</f>
        <v>5</v>
      </c>
      <c r="J16" s="30" t="n">
        <f aca="false">J$5-J15</f>
        <v>5</v>
      </c>
      <c r="K16" s="30" t="n">
        <f aca="false">K$5-K15</f>
        <v>6</v>
      </c>
      <c r="L16" s="30" t="n">
        <f aca="false">L$5-L15</f>
        <v>7</v>
      </c>
      <c r="M16" s="30" t="n">
        <f aca="false">M$5-M15</f>
        <v>8</v>
      </c>
      <c r="N16" s="30" t="n">
        <f aca="false">N$5-N15</f>
        <v>9</v>
      </c>
      <c r="O16" s="30" t="n">
        <f aca="false">O$5-O15</f>
        <v>10</v>
      </c>
      <c r="P16" s="30" t="n">
        <f aca="false">P$5-P15</f>
        <v>11</v>
      </c>
      <c r="Q16" s="30" t="n">
        <f aca="false">Q$5-Q15</f>
        <v>12</v>
      </c>
      <c r="R16" s="30" t="n">
        <f aca="false">R$5-R15</f>
        <v>13</v>
      </c>
      <c r="S16" s="30" t="n">
        <f aca="false">S$5-S15</f>
        <v>14</v>
      </c>
      <c r="T16" s="30" t="n">
        <f aca="false">T$5-T15</f>
        <v>15</v>
      </c>
      <c r="U16" s="30" t="n">
        <f aca="false">U$5-U15</f>
        <v>16</v>
      </c>
      <c r="V16" s="30" t="n">
        <f aca="false">V$5-V15</f>
        <v>17</v>
      </c>
      <c r="W16" s="30" t="n">
        <f aca="false">W$5-W15</f>
        <v>18</v>
      </c>
      <c r="X16" s="30" t="n">
        <f aca="false">X$5-X15</f>
        <v>19</v>
      </c>
      <c r="Y16" s="30" t="n">
        <f aca="false">Y$5-Y15</f>
        <v>20</v>
      </c>
      <c r="Z16" s="30" t="n">
        <f aca="false">Z$5-Z15</f>
        <v>21</v>
      </c>
      <c r="AA16" s="30" t="n">
        <f aca="false">AA$5-AA15</f>
        <v>22</v>
      </c>
      <c r="AB16" s="30" t="n">
        <f aca="false">AB$5-AB15</f>
        <v>23</v>
      </c>
      <c r="AC16" s="30" t="n">
        <f aca="false">AC$5-AC15</f>
        <v>24</v>
      </c>
    </row>
    <row r="17" customFormat="false" ht="15" hidden="false" customHeight="false" outlineLevel="0" collapsed="false">
      <c r="A17" s="3" t="s">
        <v>566</v>
      </c>
      <c r="B17" s="3" t="s">
        <v>90</v>
      </c>
      <c r="D17" s="30" t="n">
        <f aca="false">D$5-1</f>
        <v>0</v>
      </c>
      <c r="E17" s="30" t="n">
        <f aca="false">E$5-1</f>
        <v>1</v>
      </c>
      <c r="F17" s="30" t="n">
        <f aca="false">F$5-1</f>
        <v>2</v>
      </c>
      <c r="G17" s="30" t="n">
        <f aca="false">G$5-1</f>
        <v>3</v>
      </c>
      <c r="H17" s="30" t="n">
        <f aca="false">H$5-1</f>
        <v>4</v>
      </c>
      <c r="I17" s="30" t="n">
        <f aca="false">I$5-1</f>
        <v>5</v>
      </c>
      <c r="J17" s="30" t="n">
        <f aca="false">J$5-1</f>
        <v>6</v>
      </c>
      <c r="K17" s="30" t="n">
        <f aca="false">K$5-1</f>
        <v>7</v>
      </c>
      <c r="L17" s="30" t="n">
        <f aca="false">L$5-1</f>
        <v>8</v>
      </c>
      <c r="M17" s="30" t="n">
        <f aca="false">M$5-1</f>
        <v>9</v>
      </c>
      <c r="N17" s="30" t="n">
        <f aca="false">N$5-1</f>
        <v>10</v>
      </c>
      <c r="O17" s="30" t="n">
        <f aca="false">O$5-1</f>
        <v>11</v>
      </c>
      <c r="P17" s="30" t="n">
        <f aca="false">P$5-1</f>
        <v>12</v>
      </c>
      <c r="Q17" s="30" t="n">
        <f aca="false">Q$5-1</f>
        <v>13</v>
      </c>
      <c r="R17" s="30" t="n">
        <f aca="false">R$5-1</f>
        <v>14</v>
      </c>
      <c r="S17" s="30" t="n">
        <f aca="false">S$5-1</f>
        <v>15</v>
      </c>
      <c r="T17" s="30" t="n">
        <f aca="false">T$5-1</f>
        <v>16</v>
      </c>
      <c r="U17" s="30" t="n">
        <f aca="false">U$5-1</f>
        <v>17</v>
      </c>
      <c r="V17" s="30" t="n">
        <f aca="false">V$5-1</f>
        <v>18</v>
      </c>
      <c r="W17" s="30" t="n">
        <f aca="false">W$5-1</f>
        <v>19</v>
      </c>
      <c r="X17" s="30" t="n">
        <f aca="false">X$5-1</f>
        <v>20</v>
      </c>
      <c r="Y17" s="30" t="n">
        <f aca="false">Y$5-1</f>
        <v>21</v>
      </c>
      <c r="Z17" s="30" t="n">
        <f aca="false">Z$5-1</f>
        <v>22</v>
      </c>
      <c r="AA17" s="30" t="n">
        <f aca="false">AA$5-1</f>
        <v>23</v>
      </c>
      <c r="AB17" s="30" t="n">
        <f aca="false">AB$5-1</f>
        <v>24</v>
      </c>
      <c r="AC17" s="30" t="n">
        <f aca="false">AC$5-1</f>
        <v>25</v>
      </c>
    </row>
    <row r="18" customFormat="false" ht="15" hidden="false" customHeight="false" outlineLevel="0" collapsed="false">
      <c r="A18" s="3" t="s">
        <v>567</v>
      </c>
      <c r="B18" s="3" t="s">
        <v>62</v>
      </c>
      <c r="D18" s="38" t="n">
        <f aca="false">D13*D9</f>
        <v>7871.25407925408</v>
      </c>
      <c r="E18" s="38" t="n">
        <f aca="false">E13*E9</f>
        <v>4292.29324009324</v>
      </c>
      <c r="F18" s="38" t="n">
        <f aca="false">F13*F9</f>
        <v>5485.28018648019</v>
      </c>
      <c r="G18" s="38" t="n">
        <f aca="false">G13*G9</f>
        <v>6764.35897435898</v>
      </c>
      <c r="H18" s="38" t="n">
        <f aca="false">H13*H9</f>
        <v>8178.72494172494</v>
      </c>
      <c r="I18" s="38" t="n">
        <f aca="false">I13*I9</f>
        <v>9617.68857808858</v>
      </c>
      <c r="J18" s="38" t="n">
        <f aca="false">J13*J9</f>
        <v>11068.9510489511</v>
      </c>
      <c r="K18" s="38" t="n">
        <f aca="false">K13*K9</f>
        <v>12544.8111888112</v>
      </c>
      <c r="L18" s="38" t="n">
        <f aca="false">L13*L9</f>
        <v>14328.1421911422</v>
      </c>
      <c r="M18" s="38" t="n">
        <f aca="false">M13*M9</f>
        <v>19351.1423761424</v>
      </c>
      <c r="N18" s="38" t="n">
        <f aca="false">N13*N9</f>
        <v>20925.3931919932</v>
      </c>
      <c r="O18" s="38" t="n">
        <f aca="false">O13*O9</f>
        <v>22229.0696488697</v>
      </c>
      <c r="P18" s="38" t="n">
        <f aca="false">P13*P9</f>
        <v>24180.6799422799</v>
      </c>
      <c r="Q18" s="38" t="n">
        <f aca="false">Q13*Q9</f>
        <v>25442.5403618604</v>
      </c>
      <c r="R18" s="38" t="n">
        <f aca="false">R13*R9</f>
        <v>26637.9870751471</v>
      </c>
      <c r="S18" s="38" t="n">
        <f aca="false">S13*S9</f>
        <v>27501.3652569652</v>
      </c>
      <c r="T18" s="38" t="n">
        <f aca="false">T13*T9</f>
        <v>28364.7434387834</v>
      </c>
      <c r="U18" s="38" t="n">
        <f aca="false">U13*U9</f>
        <v>29228.1216206016</v>
      </c>
      <c r="V18" s="38" t="n">
        <f aca="false">V13*V9</f>
        <v>30025.0860961261</v>
      </c>
      <c r="W18" s="38" t="n">
        <f aca="false">W13*W9</f>
        <v>30822.0505716506</v>
      </c>
      <c r="X18" s="38" t="n">
        <f aca="false">X13*X9</f>
        <v>31619.0150471751</v>
      </c>
      <c r="Y18" s="38" t="n">
        <f aca="false">Y13*Y9</f>
        <v>39756.2167809968</v>
      </c>
      <c r="Z18" s="38" t="n">
        <f aca="false">Z13*Z9</f>
        <v>39889.0441935842</v>
      </c>
      <c r="AA18" s="38" t="n">
        <f aca="false">AA13*AA9</f>
        <v>40021.8716061716</v>
      </c>
      <c r="AB18" s="38" t="n">
        <f aca="false">AB13*AB9</f>
        <v>41622.7464704185</v>
      </c>
      <c r="AC18" s="38" t="n">
        <f aca="false">AC13*AC9</f>
        <v>41622.7464704185</v>
      </c>
    </row>
    <row r="19" customFormat="false" ht="15" hidden="false" customHeight="false" outlineLevel="0" collapsed="false">
      <c r="A19" s="3" t="s">
        <v>568</v>
      </c>
      <c r="B19" s="3" t="s">
        <v>62</v>
      </c>
      <c r="D19" s="38" t="n">
        <f aca="false">D13*D10</f>
        <v>9152.74592074592</v>
      </c>
      <c r="E19" s="38" t="n">
        <f aca="false">E13*E10</f>
        <v>4991.10675990676</v>
      </c>
      <c r="F19" s="38" t="n">
        <f aca="false">F13*F10</f>
        <v>6378.31981351981</v>
      </c>
      <c r="G19" s="38" t="n">
        <f aca="false">G13*G10</f>
        <v>7865.64102564103</v>
      </c>
      <c r="H19" s="38" t="n">
        <f aca="false">H13*H10</f>
        <v>9510.27505827506</v>
      </c>
      <c r="I19" s="38" t="n">
        <f aca="false">I13*I10</f>
        <v>11183.5114219114</v>
      </c>
      <c r="J19" s="38" t="n">
        <f aca="false">J13*J10</f>
        <v>12871.048951049</v>
      </c>
      <c r="K19" s="38" t="n">
        <f aca="false">K13*K10</f>
        <v>14587.1888111888</v>
      </c>
      <c r="L19" s="38" t="n">
        <f aca="false">L13*L10</f>
        <v>16660.8578088578</v>
      </c>
      <c r="M19" s="38" t="n">
        <f aca="false">M13*M10</f>
        <v>22501.6354016354</v>
      </c>
      <c r="N19" s="38" t="n">
        <f aca="false">N13*N10</f>
        <v>24332.1845857846</v>
      </c>
      <c r="O19" s="38" t="n">
        <f aca="false">O13*O10</f>
        <v>25848.1081289081</v>
      </c>
      <c r="P19" s="38" t="n">
        <f aca="false">P13*P10</f>
        <v>28117.4533910534</v>
      </c>
      <c r="Q19" s="38" t="n">
        <f aca="false">Q13*Q10</f>
        <v>29584.752971473</v>
      </c>
      <c r="R19" s="38" t="n">
        <f aca="false">R13*R10</f>
        <v>30974.8262581862</v>
      </c>
      <c r="S19" s="38" t="n">
        <f aca="false">S13*S10</f>
        <v>31978.7680763681</v>
      </c>
      <c r="T19" s="38" t="n">
        <f aca="false">T13*T10</f>
        <v>32982.7098945499</v>
      </c>
      <c r="U19" s="38" t="n">
        <f aca="false">U13*U10</f>
        <v>33986.6517127317</v>
      </c>
      <c r="V19" s="38" t="n">
        <f aca="false">V13*V10</f>
        <v>32350.0072372072</v>
      </c>
      <c r="W19" s="38" t="n">
        <f aca="false">W13*W10</f>
        <v>33208.6827616827</v>
      </c>
      <c r="X19" s="38" t="n">
        <f aca="false">X13*X10</f>
        <v>34067.3582861583</v>
      </c>
      <c r="Y19" s="38" t="n">
        <f aca="false">Y13*Y10</f>
        <v>42834.6448856699</v>
      </c>
      <c r="Z19" s="38" t="n">
        <f aca="false">Z13*Z10</f>
        <v>42977.7574730825</v>
      </c>
      <c r="AA19" s="38" t="n">
        <f aca="false">AA13*AA10</f>
        <v>43120.8700604951</v>
      </c>
      <c r="AB19" s="38" t="n">
        <f aca="false">AB13*AB10</f>
        <v>44845.7048629149</v>
      </c>
      <c r="AC19" s="38" t="n">
        <f aca="false">AC13*AC10</f>
        <v>44845.7048629149</v>
      </c>
    </row>
    <row r="21" customFormat="false" ht="15" hidden="false" customHeight="false" outlineLevel="0" collapsed="false">
      <c r="A21" s="9" t="s">
        <v>569</v>
      </c>
    </row>
    <row r="22" customFormat="false" ht="15" hidden="false" customHeight="false" outlineLevel="0" collapsed="false">
      <c r="A22" s="3" t="s">
        <v>570</v>
      </c>
      <c r="B22" s="3" t="s">
        <v>62</v>
      </c>
      <c r="C22" s="60" t="n">
        <f aca="false">Assumptions!$F$107*SUMPRODUCT(($D$16:$AC$16=C$5)*$D$18:$AC$18)</f>
        <v>2361.37622377622</v>
      </c>
      <c r="D22" s="60" t="n">
        <f aca="false">Assumptions!$F$107*SUMPRODUCT(($D$16:$AC$16=D$5)*$D$18:$AC$18)</f>
        <v>1287.68797202797</v>
      </c>
      <c r="E22" s="60" t="n">
        <f aca="false">Assumptions!$F$107*SUMPRODUCT(($D$16:$AC$16=E$5)*$D$18:$AC$18)</f>
        <v>1645.58405594406</v>
      </c>
      <c r="F22" s="60" t="n">
        <f aca="false">Assumptions!$F$107*SUMPRODUCT(($D$16:$AC$16=F$5)*$D$18:$AC$18)</f>
        <v>2029.30769230769</v>
      </c>
      <c r="G22" s="60" t="n">
        <f aca="false">Assumptions!$F$107*SUMPRODUCT(($D$16:$AC$16=G$5)*$D$18:$AC$18)</f>
        <v>2453.61748251748</v>
      </c>
      <c r="H22" s="60" t="n">
        <f aca="false">Assumptions!$F$107*SUMPRODUCT(($D$16:$AC$16=H$5)*$D$18:$AC$18)</f>
        <v>6205.99188811189</v>
      </c>
      <c r="I22" s="60" t="n">
        <f aca="false">Assumptions!$F$107*SUMPRODUCT(($D$16:$AC$16=I$5)*$D$18:$AC$18)</f>
        <v>3763.44335664336</v>
      </c>
      <c r="J22" s="60" t="n">
        <f aca="false">Assumptions!$F$107*SUMPRODUCT(($D$16:$AC$16=J$5)*$D$18:$AC$18)</f>
        <v>4298.44265734266</v>
      </c>
      <c r="K22" s="60" t="n">
        <f aca="false">Assumptions!$F$107*SUMPRODUCT(($D$16:$AC$16=K$5)*$D$18:$AC$18)</f>
        <v>5805.34271284271</v>
      </c>
      <c r="L22" s="60" t="n">
        <f aca="false">Assumptions!$F$107*SUMPRODUCT(($D$16:$AC$16=L$5)*$D$18:$AC$18)</f>
        <v>6277.61795759796</v>
      </c>
      <c r="M22" s="60" t="n">
        <f aca="false">Assumptions!$F$107*SUMPRODUCT(($D$16:$AC$16=M$5)*$D$18:$AC$18)</f>
        <v>6668.7208946609</v>
      </c>
      <c r="N22" s="60" t="n">
        <f aca="false">Assumptions!$F$107*SUMPRODUCT(($D$16:$AC$16=N$5)*$D$18:$AC$18)</f>
        <v>7254.20398268398</v>
      </c>
      <c r="O22" s="60" t="n">
        <f aca="false">Assumptions!$F$107*SUMPRODUCT(($D$16:$AC$16=O$5)*$D$18:$AC$18)</f>
        <v>7632.76210855811</v>
      </c>
      <c r="P22" s="60" t="n">
        <f aca="false">Assumptions!$F$107*SUMPRODUCT(($D$16:$AC$16=P$5)*$D$18:$AC$18)</f>
        <v>7991.39612254412</v>
      </c>
      <c r="Q22" s="60" t="n">
        <f aca="false">Assumptions!$F$107*SUMPRODUCT(($D$16:$AC$16=Q$5)*$D$18:$AC$18)</f>
        <v>8250.40957708958</v>
      </c>
      <c r="R22" s="60" t="n">
        <f aca="false">Assumptions!$F$107*SUMPRODUCT(($D$16:$AC$16=R$5)*$D$18:$AC$18)</f>
        <v>8509.42303163503</v>
      </c>
      <c r="S22" s="60" t="n">
        <f aca="false">Assumptions!$F$107*SUMPRODUCT(($D$16:$AC$16=S$5)*$D$18:$AC$18)</f>
        <v>8768.43648618048</v>
      </c>
      <c r="T22" s="60" t="n">
        <f aca="false">Assumptions!$F$107*SUMPRODUCT(($D$16:$AC$16=T$5)*$D$18:$AC$18)</f>
        <v>9007.52582883783</v>
      </c>
      <c r="U22" s="60" t="n">
        <f aca="false">Assumptions!$F$107*SUMPRODUCT(($D$16:$AC$16=U$5)*$D$18:$AC$18)</f>
        <v>9246.61517149517</v>
      </c>
      <c r="V22" s="60" t="n">
        <f aca="false">Assumptions!$F$107*SUMPRODUCT(($D$16:$AC$16=V$5)*$D$18:$AC$18)</f>
        <v>9485.70451415252</v>
      </c>
      <c r="W22" s="60" t="n">
        <f aca="false">Assumptions!$F$107*SUMPRODUCT(($D$16:$AC$16=W$5)*$D$18:$AC$18)</f>
        <v>11926.865034299</v>
      </c>
      <c r="X22" s="60" t="n">
        <f aca="false">Assumptions!$F$107*SUMPRODUCT(($D$16:$AC$16=X$5)*$D$18:$AC$18)</f>
        <v>11966.7132580753</v>
      </c>
      <c r="Y22" s="60" t="n">
        <f aca="false">Assumptions!$F$107*SUMPRODUCT(($D$16:$AC$16=Y$5)*$D$18:$AC$18)</f>
        <v>12006.5614818515</v>
      </c>
      <c r="Z22" s="60" t="n">
        <f aca="false">Assumptions!$F$107*SUMPRODUCT(($D$16:$AC$16=Z$5)*$D$18:$AC$18)</f>
        <v>12486.8239411255</v>
      </c>
      <c r="AA22" s="60" t="n">
        <f aca="false">Assumptions!$F$107*SUMPRODUCT(($D$16:$AC$16=AA$5)*$D$18:$AC$18)</f>
        <v>12486.8239411255</v>
      </c>
    </row>
    <row r="23" customFormat="false" ht="15" hidden="false" customHeight="false" outlineLevel="0" collapsed="false">
      <c r="A23" s="3" t="s">
        <v>571</v>
      </c>
      <c r="B23" s="3" t="s">
        <v>62</v>
      </c>
      <c r="C23" s="60" t="n">
        <f aca="false">(1-Assumptions!$F$107)*SUMPRODUCT(($D$17:$AC$17=C$5)*$D$18:$AC$18)</f>
        <v>5509.87785547786</v>
      </c>
      <c r="D23" s="60" t="n">
        <f aca="false">(1-Assumptions!$F$107)*SUMPRODUCT(($D$17:$AC$17=D$5)*$D$18:$AC$18)</f>
        <v>3004.60526806527</v>
      </c>
      <c r="E23" s="60" t="n">
        <f aca="false">(1-Assumptions!$F$107)*SUMPRODUCT(($D$17:$AC$17=E$5)*$D$18:$AC$18)</f>
        <v>3839.69613053613</v>
      </c>
      <c r="F23" s="60" t="n">
        <f aca="false">(1-Assumptions!$F$107)*SUMPRODUCT(($D$17:$AC$17=F$5)*$D$18:$AC$18)</f>
        <v>4735.05128205128</v>
      </c>
      <c r="G23" s="60" t="n">
        <f aca="false">(1-Assumptions!$F$107)*SUMPRODUCT(($D$17:$AC$17=G$5)*$D$18:$AC$18)</f>
        <v>5725.10745920746</v>
      </c>
      <c r="H23" s="60" t="n">
        <f aca="false">(1-Assumptions!$F$107)*SUMPRODUCT(($D$17:$AC$17=H$5)*$D$18:$AC$18)</f>
        <v>6732.38200466201</v>
      </c>
      <c r="I23" s="60" t="n">
        <f aca="false">(1-Assumptions!$F$107)*SUMPRODUCT(($D$17:$AC$17=I$5)*$D$18:$AC$18)</f>
        <v>7748.26573426574</v>
      </c>
      <c r="J23" s="60" t="n">
        <f aca="false">(1-Assumptions!$F$107)*SUMPRODUCT(($D$17:$AC$17=J$5)*$D$18:$AC$18)</f>
        <v>8781.36783216783</v>
      </c>
      <c r="K23" s="60" t="n">
        <f aca="false">(1-Assumptions!$F$107)*SUMPRODUCT(($D$17:$AC$17=K$5)*$D$18:$AC$18)</f>
        <v>10029.6995337995</v>
      </c>
      <c r="L23" s="60" t="n">
        <f aca="false">(1-Assumptions!$F$107)*SUMPRODUCT(($D$17:$AC$17=L$5)*$D$18:$AC$18)</f>
        <v>13545.7996632997</v>
      </c>
      <c r="M23" s="60" t="n">
        <f aca="false">(1-Assumptions!$F$107)*SUMPRODUCT(($D$17:$AC$17=M$5)*$D$18:$AC$18)</f>
        <v>14647.7752343952</v>
      </c>
      <c r="N23" s="60" t="n">
        <f aca="false">(1-Assumptions!$F$107)*SUMPRODUCT(($D$17:$AC$17=N$5)*$D$18:$AC$18)</f>
        <v>15560.3487542088</v>
      </c>
      <c r="O23" s="60" t="n">
        <f aca="false">(1-Assumptions!$F$107)*SUMPRODUCT(($D$17:$AC$17=O$5)*$D$18:$AC$18)</f>
        <v>16926.475959596</v>
      </c>
      <c r="P23" s="60" t="n">
        <f aca="false">(1-Assumptions!$F$107)*SUMPRODUCT(($D$17:$AC$17=P$5)*$D$18:$AC$18)</f>
        <v>17809.7782533023</v>
      </c>
      <c r="Q23" s="60" t="n">
        <f aca="false">(1-Assumptions!$F$107)*SUMPRODUCT(($D$17:$AC$17=Q$5)*$D$18:$AC$18)</f>
        <v>18646.5909526029</v>
      </c>
      <c r="R23" s="60" t="n">
        <f aca="false">(1-Assumptions!$F$107)*SUMPRODUCT(($D$17:$AC$17=R$5)*$D$18:$AC$18)</f>
        <v>19250.9556798757</v>
      </c>
      <c r="S23" s="60" t="n">
        <f aca="false">(1-Assumptions!$F$107)*SUMPRODUCT(($D$17:$AC$17=S$5)*$D$18:$AC$18)</f>
        <v>19855.3204071484</v>
      </c>
      <c r="T23" s="60" t="n">
        <f aca="false">(1-Assumptions!$F$107)*SUMPRODUCT(($D$17:$AC$17=T$5)*$D$18:$AC$18)</f>
        <v>20459.6851344211</v>
      </c>
      <c r="U23" s="60" t="n">
        <f aca="false">(1-Assumptions!$F$107)*SUMPRODUCT(($D$17:$AC$17=U$5)*$D$18:$AC$18)</f>
        <v>21017.5602672883</v>
      </c>
      <c r="V23" s="60" t="n">
        <f aca="false">(1-Assumptions!$F$107)*SUMPRODUCT(($D$17:$AC$17=V$5)*$D$18:$AC$18)</f>
        <v>21575.4354001554</v>
      </c>
      <c r="W23" s="60" t="n">
        <f aca="false">(1-Assumptions!$F$107)*SUMPRODUCT(($D$17:$AC$17=W$5)*$D$18:$AC$18)</f>
        <v>22133.3105330225</v>
      </c>
      <c r="X23" s="60" t="n">
        <f aca="false">(1-Assumptions!$F$107)*SUMPRODUCT(($D$17:$AC$17=X$5)*$D$18:$AC$18)</f>
        <v>27829.3517466978</v>
      </c>
      <c r="Y23" s="60" t="n">
        <f aca="false">(1-Assumptions!$F$107)*SUMPRODUCT(($D$17:$AC$17=Y$5)*$D$18:$AC$18)</f>
        <v>27922.3309355089</v>
      </c>
      <c r="Z23" s="60" t="n">
        <f aca="false">(1-Assumptions!$F$107)*SUMPRODUCT(($D$17:$AC$17=Z$5)*$D$18:$AC$18)</f>
        <v>28015.3101243201</v>
      </c>
      <c r="AA23" s="60" t="n">
        <f aca="false">(1-Assumptions!$F$107)*SUMPRODUCT(($D$17:$AC$17=AA$5)*$D$18:$AC$18)</f>
        <v>29135.9225292929</v>
      </c>
    </row>
    <row r="24" customFormat="false" ht="15" hidden="false" customHeight="false" outlineLevel="0" collapsed="false">
      <c r="A24" s="3" t="s">
        <v>572</v>
      </c>
      <c r="B24" s="3" t="s">
        <v>62</v>
      </c>
      <c r="C24" s="38" t="n">
        <f aca="false">0</f>
        <v>0</v>
      </c>
      <c r="D24" s="38" t="n">
        <f aca="false">D19</f>
        <v>9152.74592074592</v>
      </c>
      <c r="E24" s="38" t="n">
        <f aca="false">E19</f>
        <v>4991.10675990676</v>
      </c>
      <c r="F24" s="38" t="n">
        <f aca="false">F19</f>
        <v>6378.31981351981</v>
      </c>
      <c r="G24" s="38" t="n">
        <f aca="false">G19</f>
        <v>7865.64102564103</v>
      </c>
      <c r="H24" s="38" t="n">
        <f aca="false">H19</f>
        <v>9510.27505827506</v>
      </c>
      <c r="I24" s="38" t="n">
        <f aca="false">I19</f>
        <v>11183.5114219114</v>
      </c>
      <c r="J24" s="38" t="n">
        <f aca="false">J19</f>
        <v>12871.048951049</v>
      </c>
      <c r="K24" s="38" t="n">
        <f aca="false">K19</f>
        <v>14587.1888111888</v>
      </c>
      <c r="L24" s="38" t="n">
        <f aca="false">L19</f>
        <v>16660.8578088578</v>
      </c>
      <c r="M24" s="38" t="n">
        <f aca="false">M19</f>
        <v>22501.6354016354</v>
      </c>
      <c r="N24" s="38" t="n">
        <f aca="false">N19</f>
        <v>24332.1845857846</v>
      </c>
      <c r="O24" s="38" t="n">
        <f aca="false">O19</f>
        <v>25848.1081289081</v>
      </c>
      <c r="P24" s="38" t="n">
        <f aca="false">P19</f>
        <v>28117.4533910534</v>
      </c>
      <c r="Q24" s="38" t="n">
        <f aca="false">Q19</f>
        <v>29584.752971473</v>
      </c>
      <c r="R24" s="38" t="n">
        <f aca="false">R19</f>
        <v>30974.8262581862</v>
      </c>
      <c r="S24" s="38" t="n">
        <f aca="false">S19</f>
        <v>31978.7680763681</v>
      </c>
      <c r="T24" s="38" t="n">
        <f aca="false">T19</f>
        <v>32982.7098945499</v>
      </c>
      <c r="U24" s="38" t="n">
        <f aca="false">U19</f>
        <v>33986.6517127317</v>
      </c>
      <c r="V24" s="38" t="n">
        <f aca="false">V19</f>
        <v>32350.0072372072</v>
      </c>
      <c r="W24" s="38" t="n">
        <f aca="false">W19</f>
        <v>33208.6827616827</v>
      </c>
      <c r="X24" s="38" t="n">
        <f aca="false">X19</f>
        <v>34067.3582861583</v>
      </c>
      <c r="Y24" s="38" t="n">
        <f aca="false">Y19</f>
        <v>42834.6448856699</v>
      </c>
      <c r="Z24" s="38" t="n">
        <f aca="false">Z19</f>
        <v>42977.7574730825</v>
      </c>
      <c r="AA24" s="38" t="n">
        <f aca="false">AA19</f>
        <v>43120.8700604951</v>
      </c>
    </row>
    <row r="25" customFormat="false" ht="15" hidden="false" customHeight="false" outlineLevel="0" collapsed="false">
      <c r="A25" s="9" t="s">
        <v>573</v>
      </c>
      <c r="B25" s="3" t="s">
        <v>62</v>
      </c>
      <c r="C25" s="29" t="n">
        <f aca="false">C22+C23+C24</f>
        <v>7871.25407925408</v>
      </c>
      <c r="D25" s="29" t="n">
        <f aca="false">D22+D23+D24</f>
        <v>13445.0391608392</v>
      </c>
      <c r="E25" s="29" t="n">
        <f aca="false">E22+E23+E24</f>
        <v>10476.3869463869</v>
      </c>
      <c r="F25" s="29" t="n">
        <f aca="false">F22+F23+F24</f>
        <v>13142.6787878788</v>
      </c>
      <c r="G25" s="29" t="n">
        <f aca="false">G22+G23+G24</f>
        <v>16044.365967366</v>
      </c>
      <c r="H25" s="29" t="n">
        <f aca="false">H22+H23+H24</f>
        <v>22448.648951049</v>
      </c>
      <c r="I25" s="29" t="n">
        <f aca="false">I22+I23+I24</f>
        <v>22695.2205128205</v>
      </c>
      <c r="J25" s="29" t="n">
        <f aca="false">J22+J23+J24</f>
        <v>25950.8594405594</v>
      </c>
      <c r="K25" s="29" t="n">
        <f aca="false">K22+K23+K24</f>
        <v>30422.2310578311</v>
      </c>
      <c r="L25" s="29" t="n">
        <f aca="false">L22+L23+L24</f>
        <v>36484.2754297554</v>
      </c>
      <c r="M25" s="29" t="n">
        <f aca="false">M22+M23+M24</f>
        <v>43818.1315306915</v>
      </c>
      <c r="N25" s="29" t="n">
        <f aca="false">N22+N23+N24</f>
        <v>47146.7373226773</v>
      </c>
      <c r="O25" s="29" t="n">
        <f aca="false">O22+O23+O24</f>
        <v>50407.3461970622</v>
      </c>
      <c r="P25" s="29" t="n">
        <f aca="false">P22+P23+P24</f>
        <v>53918.6277668998</v>
      </c>
      <c r="Q25" s="29" t="n">
        <f aca="false">Q22+Q23+Q24</f>
        <v>56481.7535011655</v>
      </c>
      <c r="R25" s="29" t="n">
        <f aca="false">R22+R23+R24</f>
        <v>58735.2049696969</v>
      </c>
      <c r="S25" s="29" t="n">
        <f aca="false">S22+S23+S24</f>
        <v>60602.5249696969</v>
      </c>
      <c r="T25" s="29" t="n">
        <f aca="false">T22+T23+T24</f>
        <v>62449.9208578088</v>
      </c>
      <c r="U25" s="29" t="n">
        <f aca="false">U22+U23+U24</f>
        <v>64250.8271515151</v>
      </c>
      <c r="V25" s="29" t="n">
        <f aca="false">V22+V23+V24</f>
        <v>63411.1471515151</v>
      </c>
      <c r="W25" s="29" t="n">
        <f aca="false">W22+W23+W24</f>
        <v>67268.8583290043</v>
      </c>
      <c r="X25" s="29" t="n">
        <f aca="false">X22+X23+X24</f>
        <v>73863.4232909313</v>
      </c>
      <c r="Y25" s="29" t="n">
        <f aca="false">Y22+Y23+Y24</f>
        <v>82763.5373030303</v>
      </c>
      <c r="Z25" s="29" t="n">
        <f aca="false">Z22+Z23+Z24</f>
        <v>83479.8915385281</v>
      </c>
      <c r="AA25" s="29" t="n">
        <f aca="false">AA22+AA23+AA24</f>
        <v>84743.6165309135</v>
      </c>
    </row>
    <row r="26" customFormat="false" ht="15" hidden="false" customHeight="false" outlineLevel="0" collapsed="false">
      <c r="A26" s="3" t="s">
        <v>574</v>
      </c>
      <c r="B26" s="3" t="s">
        <v>62</v>
      </c>
      <c r="C26" s="38" t="n">
        <f aca="false">0</f>
        <v>0</v>
      </c>
      <c r="D26" s="60" t="n">
        <f aca="false">'Monthly PL Y1 Y2'!D9-'Monthly PL Y1 Y2'!D11-'Monthly PL Y1 Y2'!D12-'Monthly PL Y1 Y2'!D13-'Monthly PL Y1 Y2'!D14-'Monthly PL Y1 Y2'!D15</f>
        <v>2325</v>
      </c>
      <c r="E26" s="60" t="n">
        <f aca="false">'Monthly PL Y1 Y2'!E9-'Monthly PL Y1 Y2'!E11-'Monthly PL Y1 Y2'!E12-'Monthly PL Y1 Y2'!E13-'Monthly PL Y1 Y2'!E14-'Monthly PL Y1 Y2'!E15</f>
        <v>3720</v>
      </c>
      <c r="F26" s="60" t="n">
        <f aca="false">'Monthly PL Y1 Y2'!F9-'Monthly PL Y1 Y2'!F11-'Monthly PL Y1 Y2'!F12-'Monthly PL Y1 Y2'!F13-'Monthly PL Y1 Y2'!F14-'Monthly PL Y1 Y2'!F15</f>
        <v>5580</v>
      </c>
      <c r="G26" s="60" t="n">
        <f aca="false">'Monthly PL Y1 Y2'!G9-'Monthly PL Y1 Y2'!G11-'Monthly PL Y1 Y2'!G12-'Monthly PL Y1 Y2'!G13-'Monthly PL Y1 Y2'!G14-'Monthly PL Y1 Y2'!G15</f>
        <v>9430</v>
      </c>
      <c r="H26" s="60" t="n">
        <f aca="false">'Monthly PL Y1 Y2'!H9-'Monthly PL Y1 Y2'!H11-'Monthly PL Y1 Y2'!H12-'Monthly PL Y1 Y2'!H13-'Monthly PL Y1 Y2'!H14-'Monthly PL Y1 Y2'!H15</f>
        <v>12259</v>
      </c>
      <c r="I26" s="60" t="n">
        <f aca="false">'Monthly PL Y1 Y2'!I9-'Monthly PL Y1 Y2'!I11-'Monthly PL Y1 Y2'!I12-'Monthly PL Y1 Y2'!I13-'Monthly PL Y1 Y2'!I14-'Monthly PL Y1 Y2'!I15</f>
        <v>15465.2</v>
      </c>
      <c r="J26" s="60" t="n">
        <f aca="false">'Monthly PL Y1 Y2'!J9-'Monthly PL Y1 Y2'!J11-'Monthly PL Y1 Y2'!J12-'Monthly PL Y1 Y2'!J13-'Monthly PL Y1 Y2'!J14-'Monthly PL Y1 Y2'!J15</f>
        <v>21800</v>
      </c>
      <c r="K26" s="60" t="n">
        <f aca="false">'Monthly PL Y1 Y2'!K9-'Monthly PL Y1 Y2'!K11-'Monthly PL Y1 Y2'!K12-'Monthly PL Y1 Y2'!K13-'Monthly PL Y1 Y2'!K14-'Monthly PL Y1 Y2'!K15</f>
        <v>26160</v>
      </c>
      <c r="L26" s="60" t="n">
        <f aca="false">'Monthly PL Y1 Y2'!L9-'Monthly PL Y1 Y2'!L11-'Monthly PL Y1 Y2'!L12-'Monthly PL Y1 Y2'!L13-'Monthly PL Y1 Y2'!L14-'Monthly PL Y1 Y2'!L15</f>
        <v>30520</v>
      </c>
      <c r="M26" s="60" t="n">
        <f aca="false">'Monthly PL Y1 Y2'!M9-'Monthly PL Y1 Y2'!M11-'Monthly PL Y1 Y2'!M12-'Monthly PL Y1 Y2'!M13-'Monthly PL Y1 Y2'!M14-'Monthly PL Y1 Y2'!M15</f>
        <v>34880</v>
      </c>
      <c r="N26" s="60" t="n">
        <f aca="false">'Monthly PL Y1 Y2'!N9-'Monthly PL Y1 Y2'!N11-'Monthly PL Y1 Y2'!N12-'Monthly PL Y1 Y2'!N13-'Monthly PL Y1 Y2'!N14-'Monthly PL Y1 Y2'!N15</f>
        <v>39240</v>
      </c>
      <c r="O26" s="60" t="n">
        <f aca="false">'Monthly PL Y1 Y2'!O9-'Monthly PL Y1 Y2'!O11-'Monthly PL Y1 Y2'!O12-'Monthly PL Y1 Y2'!O13-'Monthly PL Y1 Y2'!O14-'Monthly PL Y1 Y2'!O15</f>
        <v>44690</v>
      </c>
      <c r="P26" s="60" t="n">
        <f aca="false">'Monthly PL Y1 Y2'!P9-'Monthly PL Y1 Y2'!P11-'Monthly PL Y1 Y2'!P12-'Monthly PL Y1 Y2'!P13-'Monthly PL Y1 Y2'!P14-'Monthly PL Y1 Y2'!P15</f>
        <v>52830</v>
      </c>
      <c r="Q26" s="60" t="n">
        <f aca="false">'Monthly PL Y1 Y2'!Q9-'Monthly PL Y1 Y2'!Q11-'Monthly PL Y1 Y2'!Q12-'Monthly PL Y1 Y2'!Q13-'Monthly PL Y1 Y2'!Q14-'Monthly PL Y1 Y2'!Q15</f>
        <v>57526</v>
      </c>
      <c r="R26" s="60" t="n">
        <f aca="false">'Monthly PL Y1 Y2'!R9-'Monthly PL Y1 Y2'!R11-'Monthly PL Y1 Y2'!R12-'Monthly PL Y1 Y2'!R13-'Monthly PL Y1 Y2'!R14-'Monthly PL Y1 Y2'!R15</f>
        <v>61048</v>
      </c>
      <c r="S26" s="60" t="n">
        <f aca="false">'Monthly PL Y1 Y2'!S9-'Monthly PL Y1 Y2'!S11-'Monthly PL Y1 Y2'!S12-'Monthly PL Y1 Y2'!S13-'Monthly PL Y1 Y2'!S14-'Monthly PL Y1 Y2'!S15</f>
        <v>64570</v>
      </c>
      <c r="T26" s="60" t="n">
        <f aca="false">'Monthly PL Y1 Y2'!T9-'Monthly PL Y1 Y2'!T11-'Monthly PL Y1 Y2'!T12-'Monthly PL Y1 Y2'!T13-'Monthly PL Y1 Y2'!T14-'Monthly PL Y1 Y2'!T15</f>
        <v>68092</v>
      </c>
      <c r="U26" s="60" t="n">
        <f aca="false">'Monthly PL Y1 Y2'!U9-'Monthly PL Y1 Y2'!U11-'Monthly PL Y1 Y2'!U12-'Monthly PL Y1 Y2'!U13-'Monthly PL Y1 Y2'!U14-'Monthly PL Y1 Y2'!U15</f>
        <v>71614</v>
      </c>
      <c r="V26" s="60" t="n">
        <f aca="false">'Monthly PL Y1 Y2'!V9-'Monthly PL Y1 Y2'!V11-'Monthly PL Y1 Y2'!V12-'Monthly PL Y1 Y2'!V13-'Monthly PL Y1 Y2'!V14-'Monthly PL Y1 Y2'!V15</f>
        <v>74103.75</v>
      </c>
      <c r="W26" s="60" t="n">
        <f aca="false">'Monthly PL Y1 Y2'!W9-'Monthly PL Y1 Y2'!W11-'Monthly PL Y1 Y2'!W12-'Monthly PL Y1 Y2'!W13-'Monthly PL Y1 Y2'!W14-'Monthly PL Y1 Y2'!W15</f>
        <v>76456.25</v>
      </c>
      <c r="X26" s="60" t="n">
        <f aca="false">'Monthly PL Y1 Y2'!X9-'Monthly PL Y1 Y2'!X11-'Monthly PL Y1 Y2'!X12-'Monthly PL Y1 Y2'!X13-'Monthly PL Y1 Y2'!X14-'Monthly PL Y1 Y2'!X15</f>
        <v>78808.75</v>
      </c>
      <c r="Y26" s="60" t="n">
        <f aca="false">'Monthly PL Y1 Y2'!Y9-'Monthly PL Y1 Y2'!Y11-'Monthly PL Y1 Y2'!Y12-'Monthly PL Y1 Y2'!Y13-'Monthly PL Y1 Y2'!Y14-'Monthly PL Y1 Y2'!Y15</f>
        <v>81161.25</v>
      </c>
      <c r="Z26" s="60" t="n">
        <f aca="false">'Monthly PL Y1 Y2'!Z9-'Monthly PL Y1 Y2'!Z11-'Monthly PL Y1 Y2'!Z12-'Monthly PL Y1 Y2'!Z13-'Monthly PL Y1 Y2'!Z14-'Monthly PL Y1 Y2'!Z15</f>
        <v>83513.75</v>
      </c>
      <c r="AA26" s="60" t="n">
        <f aca="false">'Monthly PL Y1 Y2'!AA9-'Monthly PL Y1 Y2'!AA11-'Monthly PL Y1 Y2'!AA12-'Monthly PL Y1 Y2'!AA13-'Monthly PL Y1 Y2'!AA14-'Monthly PL Y1 Y2'!AA15</f>
        <v>85866.25</v>
      </c>
    </row>
    <row r="27" customFormat="false" ht="15" hidden="false" customHeight="false" outlineLevel="0" collapsed="false">
      <c r="A27" s="3" t="s">
        <v>575</v>
      </c>
      <c r="B27" s="3" t="s">
        <v>62</v>
      </c>
      <c r="C27" s="38" t="n">
        <f aca="false">0</f>
        <v>0</v>
      </c>
      <c r="D27" s="60" t="n">
        <f aca="false">'Monthly PL Y1 Y2'!D36-'Monthly PL Y1 Y2'!D39-'Monthly PL Y1 Y2'!D40-'Monthly PL Y1 Y2'!D41-'Monthly PL Y1 Y2'!D42+'Monthly PL Y1 Y2'!D44-'Monthly PL Y1 Y2'!D47-'Monthly PL Y1 Y2'!D48-'Monthly PL Y1 Y2'!D49-'Monthly PL Y1 Y2'!D50</f>
        <v>0</v>
      </c>
      <c r="E27" s="60" t="n">
        <f aca="false">'Monthly PL Y1 Y2'!E36-'Monthly PL Y1 Y2'!E39-'Monthly PL Y1 Y2'!E40-'Monthly PL Y1 Y2'!E41-'Monthly PL Y1 Y2'!E42+'Monthly PL Y1 Y2'!E44-'Monthly PL Y1 Y2'!E47-'Monthly PL Y1 Y2'!E48-'Monthly PL Y1 Y2'!E49-'Monthly PL Y1 Y2'!E50</f>
        <v>0</v>
      </c>
      <c r="F27" s="60" t="n">
        <f aca="false">'Monthly PL Y1 Y2'!F36-'Monthly PL Y1 Y2'!F39-'Monthly PL Y1 Y2'!F40-'Monthly PL Y1 Y2'!F41-'Monthly PL Y1 Y2'!F42+'Monthly PL Y1 Y2'!F44-'Monthly PL Y1 Y2'!F47-'Monthly PL Y1 Y2'!F48-'Monthly PL Y1 Y2'!F49-'Monthly PL Y1 Y2'!F50</f>
        <v>0</v>
      </c>
      <c r="G27" s="60" t="n">
        <f aca="false">'Monthly PL Y1 Y2'!G36-'Monthly PL Y1 Y2'!G39-'Monthly PL Y1 Y2'!G40-'Monthly PL Y1 Y2'!G41-'Monthly PL Y1 Y2'!G42+'Monthly PL Y1 Y2'!G44-'Monthly PL Y1 Y2'!G47-'Monthly PL Y1 Y2'!G48-'Monthly PL Y1 Y2'!G49-'Monthly PL Y1 Y2'!G50</f>
        <v>0</v>
      </c>
      <c r="H27" s="60" t="n">
        <f aca="false">'Monthly PL Y1 Y2'!H36-'Monthly PL Y1 Y2'!H39-'Monthly PL Y1 Y2'!H40-'Monthly PL Y1 Y2'!H41-'Monthly PL Y1 Y2'!H42+'Monthly PL Y1 Y2'!H44-'Monthly PL Y1 Y2'!H47-'Monthly PL Y1 Y2'!H48-'Monthly PL Y1 Y2'!H49-'Monthly PL Y1 Y2'!H50</f>
        <v>0</v>
      </c>
      <c r="I27" s="60" t="n">
        <f aca="false">'Monthly PL Y1 Y2'!I36-'Monthly PL Y1 Y2'!I39-'Monthly PL Y1 Y2'!I40-'Monthly PL Y1 Y2'!I41-'Monthly PL Y1 Y2'!I42+'Monthly PL Y1 Y2'!I44-'Monthly PL Y1 Y2'!I47-'Monthly PL Y1 Y2'!I48-'Monthly PL Y1 Y2'!I49-'Monthly PL Y1 Y2'!I50</f>
        <v>0</v>
      </c>
      <c r="J27" s="60" t="n">
        <f aca="false">'Monthly PL Y1 Y2'!J36-'Monthly PL Y1 Y2'!J39-'Monthly PL Y1 Y2'!J40-'Monthly PL Y1 Y2'!J41-'Monthly PL Y1 Y2'!J42+'Monthly PL Y1 Y2'!J44-'Monthly PL Y1 Y2'!J47-'Monthly PL Y1 Y2'!J48-'Monthly PL Y1 Y2'!J49-'Monthly PL Y1 Y2'!J50</f>
        <v>0</v>
      </c>
      <c r="K27" s="60" t="n">
        <f aca="false">'Monthly PL Y1 Y2'!K36-'Monthly PL Y1 Y2'!K39-'Monthly PL Y1 Y2'!K40-'Monthly PL Y1 Y2'!K41-'Monthly PL Y1 Y2'!K42+'Monthly PL Y1 Y2'!K44-'Monthly PL Y1 Y2'!K47-'Monthly PL Y1 Y2'!K48-'Monthly PL Y1 Y2'!K49-'Monthly PL Y1 Y2'!K50</f>
        <v>0</v>
      </c>
      <c r="L27" s="60" t="n">
        <f aca="false">'Monthly PL Y1 Y2'!L36-'Monthly PL Y1 Y2'!L39-'Monthly PL Y1 Y2'!L40-'Monthly PL Y1 Y2'!L41-'Monthly PL Y1 Y2'!L42+'Monthly PL Y1 Y2'!L44-'Monthly PL Y1 Y2'!L47-'Monthly PL Y1 Y2'!L48-'Monthly PL Y1 Y2'!L49-'Monthly PL Y1 Y2'!L50</f>
        <v>0</v>
      </c>
      <c r="M27" s="60" t="n">
        <f aca="false">'Monthly PL Y1 Y2'!M36-'Monthly PL Y1 Y2'!M39-'Monthly PL Y1 Y2'!M40-'Monthly PL Y1 Y2'!M41-'Monthly PL Y1 Y2'!M42+'Monthly PL Y1 Y2'!M44-'Monthly PL Y1 Y2'!M47-'Monthly PL Y1 Y2'!M48-'Monthly PL Y1 Y2'!M49-'Monthly PL Y1 Y2'!M50</f>
        <v>0</v>
      </c>
      <c r="N27" s="60" t="n">
        <f aca="false">'Monthly PL Y1 Y2'!N36-'Monthly PL Y1 Y2'!N39-'Monthly PL Y1 Y2'!N40-'Monthly PL Y1 Y2'!N41-'Monthly PL Y1 Y2'!N42+'Monthly PL Y1 Y2'!N44-'Monthly PL Y1 Y2'!N47-'Monthly PL Y1 Y2'!N48-'Monthly PL Y1 Y2'!N49-'Monthly PL Y1 Y2'!N50</f>
        <v>0</v>
      </c>
      <c r="O27" s="60" t="n">
        <f aca="false">'Monthly PL Y1 Y2'!O36-'Monthly PL Y1 Y2'!O39-'Monthly PL Y1 Y2'!O40-'Monthly PL Y1 Y2'!O41-'Monthly PL Y1 Y2'!O42+'Monthly PL Y1 Y2'!O44-'Monthly PL Y1 Y2'!O47-'Monthly PL Y1 Y2'!O48-'Monthly PL Y1 Y2'!O49-'Monthly PL Y1 Y2'!O50</f>
        <v>0</v>
      </c>
      <c r="P27" s="60" t="n">
        <f aca="false">'Monthly PL Y1 Y2'!P36-'Monthly PL Y1 Y2'!P39-'Monthly PL Y1 Y2'!P40-'Monthly PL Y1 Y2'!P41-'Monthly PL Y1 Y2'!P42+'Monthly PL Y1 Y2'!P44-'Monthly PL Y1 Y2'!P47-'Monthly PL Y1 Y2'!P48-'Monthly PL Y1 Y2'!P49-'Monthly PL Y1 Y2'!P50</f>
        <v>12215.0984126984</v>
      </c>
      <c r="Q27" s="60" t="n">
        <f aca="false">'Monthly PL Y1 Y2'!Q36-'Monthly PL Y1 Y2'!Q39-'Monthly PL Y1 Y2'!Q40-'Monthly PL Y1 Y2'!Q41-'Monthly PL Y1 Y2'!Q42+'Monthly PL Y1 Y2'!Q44-'Monthly PL Y1 Y2'!Q47-'Monthly PL Y1 Y2'!Q48-'Monthly PL Y1 Y2'!Q49-'Monthly PL Y1 Y2'!Q50</f>
        <v>12641.9784126984</v>
      </c>
      <c r="R27" s="60" t="n">
        <f aca="false">'Monthly PL Y1 Y2'!R36-'Monthly PL Y1 Y2'!R39-'Monthly PL Y1 Y2'!R40-'Monthly PL Y1 Y2'!R41-'Monthly PL Y1 Y2'!R42+'Monthly PL Y1 Y2'!R44-'Monthly PL Y1 Y2'!R47-'Monthly PL Y1 Y2'!R48-'Monthly PL Y1 Y2'!R49-'Monthly PL Y1 Y2'!R50</f>
        <v>12962.1384126984</v>
      </c>
      <c r="S27" s="60" t="n">
        <f aca="false">'Monthly PL Y1 Y2'!S36-'Monthly PL Y1 Y2'!S39-'Monthly PL Y1 Y2'!S40-'Monthly PL Y1 Y2'!S41-'Monthly PL Y1 Y2'!S42+'Monthly PL Y1 Y2'!S44-'Monthly PL Y1 Y2'!S47-'Monthly PL Y1 Y2'!S48-'Monthly PL Y1 Y2'!S49-'Monthly PL Y1 Y2'!S50</f>
        <v>13282.2984126984</v>
      </c>
      <c r="T27" s="60" t="n">
        <f aca="false">'Monthly PL Y1 Y2'!T36-'Monthly PL Y1 Y2'!T39-'Monthly PL Y1 Y2'!T40-'Monthly PL Y1 Y2'!T41-'Monthly PL Y1 Y2'!T42+'Monthly PL Y1 Y2'!T44-'Monthly PL Y1 Y2'!T47-'Monthly PL Y1 Y2'!T48-'Monthly PL Y1 Y2'!T49-'Monthly PL Y1 Y2'!T50</f>
        <v>13602.4584126984</v>
      </c>
      <c r="U27" s="60" t="n">
        <f aca="false">'Monthly PL Y1 Y2'!U36-'Monthly PL Y1 Y2'!U39-'Monthly PL Y1 Y2'!U40-'Monthly PL Y1 Y2'!U41-'Monthly PL Y1 Y2'!U42+'Monthly PL Y1 Y2'!U44-'Monthly PL Y1 Y2'!U47-'Monthly PL Y1 Y2'!U48-'Monthly PL Y1 Y2'!U49-'Monthly PL Y1 Y2'!U50</f>
        <v>13922.6184126984</v>
      </c>
      <c r="V27" s="60" t="n">
        <f aca="false">'Monthly PL Y1 Y2'!V36-'Monthly PL Y1 Y2'!V39-'Monthly PL Y1 Y2'!V40-'Monthly PL Y1 Y2'!V41-'Monthly PL Y1 Y2'!V42+'Monthly PL Y1 Y2'!V44-'Monthly PL Y1 Y2'!V47-'Monthly PL Y1 Y2'!V48-'Monthly PL Y1 Y2'!V49-'Monthly PL Y1 Y2'!V50</f>
        <v>14136.0584126984</v>
      </c>
      <c r="W27" s="60" t="n">
        <f aca="false">'Monthly PL Y1 Y2'!W36-'Monthly PL Y1 Y2'!W39-'Monthly PL Y1 Y2'!W40-'Monthly PL Y1 Y2'!W41-'Monthly PL Y1 Y2'!W42+'Monthly PL Y1 Y2'!W44-'Monthly PL Y1 Y2'!W47-'Monthly PL Y1 Y2'!W48-'Monthly PL Y1 Y2'!W49-'Monthly PL Y1 Y2'!W50</f>
        <v>14349.4984126984</v>
      </c>
      <c r="X27" s="60" t="n">
        <f aca="false">'Monthly PL Y1 Y2'!X36-'Monthly PL Y1 Y2'!X39-'Monthly PL Y1 Y2'!X40-'Monthly PL Y1 Y2'!X41-'Monthly PL Y1 Y2'!X42+'Monthly PL Y1 Y2'!X44-'Monthly PL Y1 Y2'!X47-'Monthly PL Y1 Y2'!X48-'Monthly PL Y1 Y2'!X49-'Monthly PL Y1 Y2'!X50</f>
        <v>14562.9384126984</v>
      </c>
      <c r="Y27" s="60" t="n">
        <f aca="false">'Monthly PL Y1 Y2'!Y36-'Monthly PL Y1 Y2'!Y39-'Monthly PL Y1 Y2'!Y40-'Monthly PL Y1 Y2'!Y41-'Monthly PL Y1 Y2'!Y42+'Monthly PL Y1 Y2'!Y44-'Monthly PL Y1 Y2'!Y47-'Monthly PL Y1 Y2'!Y48-'Monthly PL Y1 Y2'!Y49-'Monthly PL Y1 Y2'!Y50</f>
        <v>14776.3784126984</v>
      </c>
      <c r="Z27" s="60" t="n">
        <f aca="false">'Monthly PL Y1 Y2'!Z36-'Monthly PL Y1 Y2'!Z39-'Monthly PL Y1 Y2'!Z40-'Monthly PL Y1 Y2'!Z41-'Monthly PL Y1 Y2'!Z42+'Monthly PL Y1 Y2'!Z44-'Monthly PL Y1 Y2'!Z47-'Monthly PL Y1 Y2'!Z48-'Monthly PL Y1 Y2'!Z49-'Monthly PL Y1 Y2'!Z50</f>
        <v>14989.8184126984</v>
      </c>
      <c r="AA27" s="60" t="n">
        <f aca="false">'Monthly PL Y1 Y2'!AA36-'Monthly PL Y1 Y2'!AA39-'Monthly PL Y1 Y2'!AA40-'Monthly PL Y1 Y2'!AA41-'Monthly PL Y1 Y2'!AA42+'Monthly PL Y1 Y2'!AA44-'Monthly PL Y1 Y2'!AA47-'Monthly PL Y1 Y2'!AA48-'Monthly PL Y1 Y2'!AA49-'Monthly PL Y1 Y2'!AA50</f>
        <v>15203.2584126984</v>
      </c>
    </row>
    <row r="28" customFormat="false" ht="15" hidden="false" customHeight="false" outlineLevel="0" collapsed="false">
      <c r="A28" s="3" t="s">
        <v>576</v>
      </c>
      <c r="B28" s="3" t="s">
        <v>62</v>
      </c>
      <c r="C28" s="60" t="n">
        <f aca="false">(C26+C27)*Assumptions!$F$108/30</f>
        <v>0</v>
      </c>
      <c r="D28" s="60" t="n">
        <f aca="false">(D26+D27)*Assumptions!$F$108/30</f>
        <v>1085</v>
      </c>
      <c r="E28" s="60" t="n">
        <f aca="false">(E26+E27)*Assumptions!$F$108/30</f>
        <v>1736</v>
      </c>
      <c r="F28" s="60" t="n">
        <f aca="false">(F26+F27)*Assumptions!$F$108/30</f>
        <v>2604</v>
      </c>
      <c r="G28" s="60" t="n">
        <f aca="false">(G26+G27)*Assumptions!$F$108/30</f>
        <v>4400.66666666667</v>
      </c>
      <c r="H28" s="60" t="n">
        <f aca="false">(H26+H27)*Assumptions!$F$108/30</f>
        <v>5720.86666666667</v>
      </c>
      <c r="I28" s="60" t="n">
        <f aca="false">(I26+I27)*Assumptions!$F$108/30</f>
        <v>7217.09333333333</v>
      </c>
      <c r="J28" s="60" t="n">
        <f aca="false">(J26+J27)*Assumptions!$F$108/30</f>
        <v>10173.3333333333</v>
      </c>
      <c r="K28" s="60" t="n">
        <f aca="false">(K26+K27)*Assumptions!$F$108/30</f>
        <v>12208</v>
      </c>
      <c r="L28" s="60" t="n">
        <f aca="false">(L26+L27)*Assumptions!$F$108/30</f>
        <v>14242.6666666667</v>
      </c>
      <c r="M28" s="60" t="n">
        <f aca="false">(M26+M27)*Assumptions!$F$108/30</f>
        <v>16277.3333333333</v>
      </c>
      <c r="N28" s="60" t="n">
        <f aca="false">(N26+N27)*Assumptions!$F$108/30</f>
        <v>18312</v>
      </c>
      <c r="O28" s="60" t="n">
        <f aca="false">(O26+O27)*Assumptions!$F$108/30</f>
        <v>20855.3333333333</v>
      </c>
      <c r="P28" s="60" t="n">
        <f aca="false">(P26+P27)*Assumptions!$F$108/30</f>
        <v>30354.3792592593</v>
      </c>
      <c r="Q28" s="60" t="n">
        <f aca="false">(Q26+Q27)*Assumptions!$F$108/30</f>
        <v>32745.0565925926</v>
      </c>
      <c r="R28" s="60" t="n">
        <f aca="false">(R26+R27)*Assumptions!$F$108/30</f>
        <v>34538.0645925926</v>
      </c>
      <c r="S28" s="60" t="n">
        <f aca="false">(S26+S27)*Assumptions!$F$108/30</f>
        <v>36331.0725925926</v>
      </c>
      <c r="T28" s="60" t="n">
        <f aca="false">(T26+T27)*Assumptions!$F$108/30</f>
        <v>38124.0805925926</v>
      </c>
      <c r="U28" s="60" t="n">
        <f aca="false">(U26+U27)*Assumptions!$F$108/30</f>
        <v>39917.0885925926</v>
      </c>
      <c r="V28" s="60" t="n">
        <f aca="false">(V26+V27)*Assumptions!$F$108/30</f>
        <v>41178.5772592593</v>
      </c>
      <c r="W28" s="60" t="n">
        <f aca="false">(W26+W27)*Assumptions!$F$108/30</f>
        <v>42376.0159259259</v>
      </c>
      <c r="X28" s="60" t="n">
        <f aca="false">(X26+X27)*Assumptions!$F$108/30</f>
        <v>43573.4545925926</v>
      </c>
      <c r="Y28" s="60" t="n">
        <f aca="false">(Y26+Y27)*Assumptions!$F$108/30</f>
        <v>44770.8932592593</v>
      </c>
      <c r="Z28" s="60" t="n">
        <f aca="false">(Z26+Z27)*Assumptions!$F$108/30</f>
        <v>45968.3319259259</v>
      </c>
      <c r="AA28" s="60" t="n">
        <f aca="false">(AA26+AA27)*Assumptions!$F$108/30</f>
        <v>47165.7705925926</v>
      </c>
    </row>
    <row r="29" customFormat="false" ht="15" hidden="false" customHeight="false" outlineLevel="0" collapsed="false">
      <c r="A29" s="9" t="s">
        <v>577</v>
      </c>
      <c r="B29" s="3" t="s">
        <v>62</v>
      </c>
      <c r="C29" s="29" t="n">
        <f aca="false">0</f>
        <v>0</v>
      </c>
      <c r="D29" s="29" t="n">
        <f aca="false">D26+D27-D28+C28</f>
        <v>1240</v>
      </c>
      <c r="E29" s="29" t="n">
        <f aca="false">E26+E27-E28+D28</f>
        <v>3069</v>
      </c>
      <c r="F29" s="29" t="n">
        <f aca="false">F26+F27-F28+E28</f>
        <v>4712</v>
      </c>
      <c r="G29" s="29" t="n">
        <f aca="false">G26+G27-G28+F28</f>
        <v>7633.33333333333</v>
      </c>
      <c r="H29" s="29" t="n">
        <f aca="false">H26+H27-H28+G28</f>
        <v>10938.8</v>
      </c>
      <c r="I29" s="29" t="n">
        <f aca="false">I26+I27-I28+H28</f>
        <v>13968.9733333333</v>
      </c>
      <c r="J29" s="29" t="n">
        <f aca="false">J26+J27-J28+I28</f>
        <v>18843.76</v>
      </c>
      <c r="K29" s="29" t="n">
        <f aca="false">K26+K27-K28+J28</f>
        <v>24125.3333333333</v>
      </c>
      <c r="L29" s="29" t="n">
        <f aca="false">L26+L27-L28+K28</f>
        <v>28485.3333333333</v>
      </c>
      <c r="M29" s="29" t="n">
        <f aca="false">M26+M27-M28+L28</f>
        <v>32845.3333333333</v>
      </c>
      <c r="N29" s="29" t="n">
        <f aca="false">N26+N27-N28+M28</f>
        <v>37205.3333333333</v>
      </c>
      <c r="O29" s="29" t="n">
        <f aca="false">O26+O27-O28+N28</f>
        <v>42146.6666666667</v>
      </c>
      <c r="P29" s="29" t="n">
        <f aca="false">P26+P27-P28+O28</f>
        <v>55546.0524867725</v>
      </c>
      <c r="Q29" s="29" t="n">
        <f aca="false">Q26+Q27-Q28+P28</f>
        <v>67777.3010793651</v>
      </c>
      <c r="R29" s="29" t="n">
        <f aca="false">R26+R27-R28+Q28</f>
        <v>72217.1304126984</v>
      </c>
      <c r="S29" s="29" t="n">
        <f aca="false">S26+S27-S28+R28</f>
        <v>76059.2904126984</v>
      </c>
      <c r="T29" s="29" t="n">
        <f aca="false">T26+T27-T28+S28</f>
        <v>79901.4504126984</v>
      </c>
      <c r="U29" s="29" t="n">
        <f aca="false">U26+U27-U28+T28</f>
        <v>83743.6104126984</v>
      </c>
      <c r="V29" s="29" t="n">
        <f aca="false">V26+V27-V28+U28</f>
        <v>86978.3197460318</v>
      </c>
      <c r="W29" s="29" t="n">
        <f aca="false">W26+W27-W28+V28</f>
        <v>89608.3097460318</v>
      </c>
      <c r="X29" s="29" t="n">
        <f aca="false">X26+X27-X28+W28</f>
        <v>92174.2497460318</v>
      </c>
      <c r="Y29" s="29" t="n">
        <f aca="false">Y26+Y27-Y28+X28</f>
        <v>94740.1897460317</v>
      </c>
      <c r="Z29" s="29" t="n">
        <f aca="false">Z26+Z27-Z28+Y28</f>
        <v>97306.1297460317</v>
      </c>
      <c r="AA29" s="29" t="n">
        <f aca="false">AA26+AA27-AA28+Z28</f>
        <v>99872.0697460318</v>
      </c>
    </row>
    <row r="30" customFormat="false" ht="15" hidden="false" customHeight="false" outlineLevel="0" collapsed="false">
      <c r="A30" s="3" t="s">
        <v>578</v>
      </c>
      <c r="B30" s="3" t="s">
        <v>62</v>
      </c>
      <c r="C30" s="38" t="n">
        <f aca="false">0</f>
        <v>0</v>
      </c>
      <c r="D30" s="60" t="n">
        <f aca="false">'Monthly PL Y1 Y2'!D17+'Monthly PL Y1 Y2'!D18+'Monthly PL Y1 Y2'!D19+'Monthly PL Y1 Y2'!D20</f>
        <v>10389.99</v>
      </c>
      <c r="E30" s="60" t="n">
        <f aca="false">'Monthly PL Y1 Y2'!E17+'Monthly PL Y1 Y2'!E18+'Monthly PL Y1 Y2'!E19+'Monthly PL Y1 Y2'!E20</f>
        <v>889.99</v>
      </c>
      <c r="F30" s="60" t="n">
        <f aca="false">'Monthly PL Y1 Y2'!F17+'Monthly PL Y1 Y2'!F18+'Monthly PL Y1 Y2'!F19+'Monthly PL Y1 Y2'!F20</f>
        <v>889.99</v>
      </c>
      <c r="G30" s="60" t="n">
        <f aca="false">'Monthly PL Y1 Y2'!G17+'Monthly PL Y1 Y2'!G18+'Monthly PL Y1 Y2'!G19+'Monthly PL Y1 Y2'!G20</f>
        <v>889.99</v>
      </c>
      <c r="H30" s="60" t="n">
        <f aca="false">'Monthly PL Y1 Y2'!H17+'Monthly PL Y1 Y2'!H18+'Monthly PL Y1 Y2'!H19+'Monthly PL Y1 Y2'!H20</f>
        <v>889.99</v>
      </c>
      <c r="I30" s="60" t="n">
        <f aca="false">'Monthly PL Y1 Y2'!I17+'Monthly PL Y1 Y2'!I18+'Monthly PL Y1 Y2'!I19+'Monthly PL Y1 Y2'!I20</f>
        <v>889.99</v>
      </c>
      <c r="J30" s="60" t="n">
        <f aca="false">'Monthly PL Y1 Y2'!J17+'Monthly PL Y1 Y2'!J18+'Monthly PL Y1 Y2'!J19+'Monthly PL Y1 Y2'!J20</f>
        <v>889.99</v>
      </c>
      <c r="K30" s="60" t="n">
        <f aca="false">'Monthly PL Y1 Y2'!K17+'Monthly PL Y1 Y2'!K18+'Monthly PL Y1 Y2'!K19+'Monthly PL Y1 Y2'!K20</f>
        <v>889.99</v>
      </c>
      <c r="L30" s="60" t="n">
        <f aca="false">'Monthly PL Y1 Y2'!L17+'Monthly PL Y1 Y2'!L18+'Monthly PL Y1 Y2'!L19+'Monthly PL Y1 Y2'!L20</f>
        <v>889.99</v>
      </c>
      <c r="M30" s="60" t="n">
        <f aca="false">'Monthly PL Y1 Y2'!M17+'Monthly PL Y1 Y2'!M18+'Monthly PL Y1 Y2'!M19+'Monthly PL Y1 Y2'!M20</f>
        <v>889.99</v>
      </c>
      <c r="N30" s="60" t="n">
        <f aca="false">'Monthly PL Y1 Y2'!N17+'Monthly PL Y1 Y2'!N18+'Monthly PL Y1 Y2'!N19+'Monthly PL Y1 Y2'!N20</f>
        <v>889.99</v>
      </c>
      <c r="O30" s="60" t="n">
        <f aca="false">'Monthly PL Y1 Y2'!O17+'Monthly PL Y1 Y2'!O18+'Monthly PL Y1 Y2'!O19+'Monthly PL Y1 Y2'!O20</f>
        <v>889.99</v>
      </c>
      <c r="P30" s="60" t="n">
        <f aca="false">'Monthly PL Y1 Y2'!P17+'Monthly PL Y1 Y2'!P18+'Monthly PL Y1 Y2'!P19+'Monthly PL Y1 Y2'!P20</f>
        <v>889.99</v>
      </c>
      <c r="Q30" s="60" t="n">
        <f aca="false">'Monthly PL Y1 Y2'!Q17+'Monthly PL Y1 Y2'!Q18+'Monthly PL Y1 Y2'!Q19+'Monthly PL Y1 Y2'!Q20</f>
        <v>889.99</v>
      </c>
      <c r="R30" s="60" t="n">
        <f aca="false">'Monthly PL Y1 Y2'!R17+'Monthly PL Y1 Y2'!R18+'Monthly PL Y1 Y2'!R19+'Monthly PL Y1 Y2'!R20</f>
        <v>889.99</v>
      </c>
      <c r="S30" s="60" t="n">
        <f aca="false">'Monthly PL Y1 Y2'!S17+'Monthly PL Y1 Y2'!S18+'Monthly PL Y1 Y2'!S19+'Monthly PL Y1 Y2'!S20</f>
        <v>889.99</v>
      </c>
      <c r="T30" s="60" t="n">
        <f aca="false">'Monthly PL Y1 Y2'!T17+'Monthly PL Y1 Y2'!T18+'Monthly PL Y1 Y2'!T19+'Monthly PL Y1 Y2'!T20</f>
        <v>889.99</v>
      </c>
      <c r="U30" s="60" t="n">
        <f aca="false">'Monthly PL Y1 Y2'!U17+'Monthly PL Y1 Y2'!U18+'Monthly PL Y1 Y2'!U19+'Monthly PL Y1 Y2'!U20</f>
        <v>889.99</v>
      </c>
      <c r="V30" s="60" t="n">
        <f aca="false">'Monthly PL Y1 Y2'!V17+'Monthly PL Y1 Y2'!V18+'Monthly PL Y1 Y2'!V19+'Monthly PL Y1 Y2'!V20</f>
        <v>1966.65666666667</v>
      </c>
      <c r="W30" s="60" t="n">
        <f aca="false">'Monthly PL Y1 Y2'!W17+'Monthly PL Y1 Y2'!W18+'Monthly PL Y1 Y2'!W19+'Monthly PL Y1 Y2'!W20</f>
        <v>1966.65666666667</v>
      </c>
      <c r="X30" s="60" t="n">
        <f aca="false">'Monthly PL Y1 Y2'!X17+'Monthly PL Y1 Y2'!X18+'Monthly PL Y1 Y2'!X19+'Monthly PL Y1 Y2'!X20</f>
        <v>1966.65666666667</v>
      </c>
      <c r="Y30" s="60" t="n">
        <f aca="false">'Monthly PL Y1 Y2'!Y17+'Monthly PL Y1 Y2'!Y18+'Monthly PL Y1 Y2'!Y19+'Monthly PL Y1 Y2'!Y20</f>
        <v>1966.65666666667</v>
      </c>
      <c r="Z30" s="60" t="n">
        <f aca="false">'Monthly PL Y1 Y2'!Z17+'Monthly PL Y1 Y2'!Z18+'Monthly PL Y1 Y2'!Z19+'Monthly PL Y1 Y2'!Z20</f>
        <v>1966.65666666667</v>
      </c>
      <c r="AA30" s="60" t="n">
        <f aca="false">'Monthly PL Y1 Y2'!AA17+'Monthly PL Y1 Y2'!AA18+'Monthly PL Y1 Y2'!AA19+'Monthly PL Y1 Y2'!AA20</f>
        <v>1966.65666666667</v>
      </c>
    </row>
    <row r="31" customFormat="false" ht="15" hidden="false" customHeight="false" outlineLevel="0" collapsed="false">
      <c r="A31" s="9" t="s">
        <v>579</v>
      </c>
      <c r="B31" s="3" t="s">
        <v>62</v>
      </c>
      <c r="C31" s="29" t="n">
        <f aca="false">C25+C30</f>
        <v>7871.25407925408</v>
      </c>
      <c r="D31" s="29" t="n">
        <f aca="false">D25+D30</f>
        <v>23835.0291608392</v>
      </c>
      <c r="E31" s="29" t="n">
        <f aca="false">E25+E30</f>
        <v>11366.3769463869</v>
      </c>
      <c r="F31" s="29" t="n">
        <f aca="false">F25+F30</f>
        <v>14032.6687878788</v>
      </c>
      <c r="G31" s="29" t="n">
        <f aca="false">G25+G30</f>
        <v>16934.355967366</v>
      </c>
      <c r="H31" s="29" t="n">
        <f aca="false">H25+H30</f>
        <v>23338.638951049</v>
      </c>
      <c r="I31" s="29" t="n">
        <f aca="false">I25+I30</f>
        <v>23585.2105128205</v>
      </c>
      <c r="J31" s="29" t="n">
        <f aca="false">J25+J30</f>
        <v>26840.8494405594</v>
      </c>
      <c r="K31" s="29" t="n">
        <f aca="false">K25+K30</f>
        <v>31312.2210578311</v>
      </c>
      <c r="L31" s="29" t="n">
        <f aca="false">L25+L30</f>
        <v>37374.2654297554</v>
      </c>
      <c r="M31" s="29" t="n">
        <f aca="false">M25+M30</f>
        <v>44708.1215306915</v>
      </c>
      <c r="N31" s="29" t="n">
        <f aca="false">N25+N30</f>
        <v>48036.7273226773</v>
      </c>
      <c r="O31" s="29" t="n">
        <f aca="false">O25+O30</f>
        <v>51297.3361970622</v>
      </c>
      <c r="P31" s="29" t="n">
        <f aca="false">P25+P30</f>
        <v>54808.6177668998</v>
      </c>
      <c r="Q31" s="29" t="n">
        <f aca="false">Q25+Q30</f>
        <v>57371.7435011655</v>
      </c>
      <c r="R31" s="29" t="n">
        <f aca="false">R25+R30</f>
        <v>59625.1949696969</v>
      </c>
      <c r="S31" s="29" t="n">
        <f aca="false">S25+S30</f>
        <v>61492.5149696969</v>
      </c>
      <c r="T31" s="29" t="n">
        <f aca="false">T25+T30</f>
        <v>63339.9108578088</v>
      </c>
      <c r="U31" s="29" t="n">
        <f aca="false">U25+U30</f>
        <v>65140.8171515151</v>
      </c>
      <c r="V31" s="29" t="n">
        <f aca="false">V25+V30</f>
        <v>65377.8038181818</v>
      </c>
      <c r="W31" s="29" t="n">
        <f aca="false">W25+W30</f>
        <v>69235.514995671</v>
      </c>
      <c r="X31" s="29" t="n">
        <f aca="false">X25+X30</f>
        <v>75830.079957598</v>
      </c>
      <c r="Y31" s="29" t="n">
        <f aca="false">Y25+Y30</f>
        <v>84730.193969697</v>
      </c>
      <c r="Z31" s="29" t="n">
        <f aca="false">Z25+Z30</f>
        <v>85446.5482051948</v>
      </c>
      <c r="AA31" s="29" t="n">
        <f aca="false">AA25+AA30</f>
        <v>86710.2731975802</v>
      </c>
    </row>
    <row r="32" customFormat="false" ht="15" hidden="false" customHeight="false" outlineLevel="0" collapsed="false">
      <c r="A32" s="9" t="s">
        <v>580</v>
      </c>
      <c r="B32" s="3" t="s">
        <v>62</v>
      </c>
      <c r="C32" s="29" t="n">
        <f aca="false">C29-C31</f>
        <v>-7871.25407925408</v>
      </c>
      <c r="D32" s="29" t="n">
        <f aca="false">D29-D31</f>
        <v>-22595.0291608392</v>
      </c>
      <c r="E32" s="29" t="n">
        <f aca="false">E29-E31</f>
        <v>-8297.37694638695</v>
      </c>
      <c r="F32" s="29" t="n">
        <f aca="false">F29-F31</f>
        <v>-9320.66878787879</v>
      </c>
      <c r="G32" s="29" t="n">
        <f aca="false">G29-G31</f>
        <v>-9301.02263403264</v>
      </c>
      <c r="H32" s="29" t="n">
        <f aca="false">H29-H31</f>
        <v>-12399.838951049</v>
      </c>
      <c r="I32" s="29" t="n">
        <f aca="false">I29-I31</f>
        <v>-9616.23717948719</v>
      </c>
      <c r="J32" s="29" t="n">
        <f aca="false">J29-J31</f>
        <v>-7997.08944055944</v>
      </c>
      <c r="K32" s="29" t="n">
        <f aca="false">K29-K31</f>
        <v>-7186.88772449773</v>
      </c>
      <c r="L32" s="29" t="n">
        <f aca="false">L29-L31</f>
        <v>-8888.9320964221</v>
      </c>
      <c r="M32" s="29" t="n">
        <f aca="false">M29-M31</f>
        <v>-11862.7881973582</v>
      </c>
      <c r="N32" s="29" t="n">
        <f aca="false">N29-N31</f>
        <v>-10831.393989344</v>
      </c>
      <c r="O32" s="29" t="n">
        <f aca="false">O29-O31</f>
        <v>-9150.66953039553</v>
      </c>
      <c r="P32" s="29" t="n">
        <f aca="false">P29-P31</f>
        <v>737.434719872726</v>
      </c>
      <c r="Q32" s="29" t="n">
        <f aca="false">Q29-Q31</f>
        <v>10405.5575781996</v>
      </c>
      <c r="R32" s="29" t="n">
        <f aca="false">R29-R31</f>
        <v>12591.9354430015</v>
      </c>
      <c r="S32" s="29" t="n">
        <f aca="false">S29-S31</f>
        <v>14566.7754430015</v>
      </c>
      <c r="T32" s="29" t="n">
        <f aca="false">T29-T31</f>
        <v>16561.5395548896</v>
      </c>
      <c r="U32" s="29" t="n">
        <f aca="false">U29-U31</f>
        <v>18602.7932611833</v>
      </c>
      <c r="V32" s="29" t="n">
        <f aca="false">V29-V31</f>
        <v>21600.51592785</v>
      </c>
      <c r="W32" s="29" t="n">
        <f aca="false">W29-W31</f>
        <v>20372.7947503608</v>
      </c>
      <c r="X32" s="29" t="n">
        <f aca="false">X29-X31</f>
        <v>16344.1697884338</v>
      </c>
      <c r="Y32" s="29" t="n">
        <f aca="false">Y29-Y31</f>
        <v>10009.9957763348</v>
      </c>
      <c r="Z32" s="29" t="n">
        <f aca="false">Z29-Z31</f>
        <v>11859.581540837</v>
      </c>
      <c r="AA32" s="29" t="n">
        <f aca="false">AA29-AA31</f>
        <v>13161.7965484515</v>
      </c>
    </row>
    <row r="33" customFormat="false" ht="15" hidden="false" customHeight="false" outlineLevel="0" collapsed="false">
      <c r="A33" s="9" t="s">
        <v>581</v>
      </c>
      <c r="B33" s="3" t="s">
        <v>62</v>
      </c>
      <c r="C33" s="61" t="n">
        <f aca="false">Assumptions!$F$106+C32</f>
        <v>31128.7459207459</v>
      </c>
      <c r="D33" s="29" t="n">
        <f aca="false">C33+D32</f>
        <v>8533.71675990675</v>
      </c>
      <c r="E33" s="29" t="n">
        <f aca="false">D33+E32</f>
        <v>236.339813519809</v>
      </c>
      <c r="F33" s="29" t="n">
        <f aca="false">E33+F32</f>
        <v>-9084.32897435898</v>
      </c>
      <c r="G33" s="29" t="n">
        <f aca="false">F33+G32</f>
        <v>-18385.3516083916</v>
      </c>
      <c r="H33" s="29" t="n">
        <f aca="false">G33+H32</f>
        <v>-30785.1905594406</v>
      </c>
      <c r="I33" s="29" t="n">
        <f aca="false">H33+I32</f>
        <v>-40401.4277389278</v>
      </c>
      <c r="J33" s="29" t="n">
        <f aca="false">I33+J32</f>
        <v>-48398.5171794872</v>
      </c>
      <c r="K33" s="29" t="n">
        <f aca="false">J33+K32</f>
        <v>-55585.4049039849</v>
      </c>
      <c r="L33" s="29" t="n">
        <f aca="false">K33+L32</f>
        <v>-64474.337000407</v>
      </c>
      <c r="M33" s="29" t="n">
        <f aca="false">L33+M32</f>
        <v>-76337.1251977652</v>
      </c>
      <c r="N33" s="29" t="n">
        <f aca="false">M33+N32</f>
        <v>-87168.5191871092</v>
      </c>
      <c r="O33" s="29" t="n">
        <f aca="false">N33+O32</f>
        <v>-96319.1887175048</v>
      </c>
      <c r="P33" s="29" t="n">
        <f aca="false">O33+P32</f>
        <v>-95581.753997632</v>
      </c>
      <c r="Q33" s="29" t="n">
        <f aca="false">P33+Q32</f>
        <v>-85176.1964194324</v>
      </c>
      <c r="R33" s="29" t="n">
        <f aca="false">Q33+R32</f>
        <v>-72584.260976431</v>
      </c>
      <c r="S33" s="29" t="n">
        <f aca="false">R33+S32</f>
        <v>-58017.4855334295</v>
      </c>
      <c r="T33" s="29" t="n">
        <f aca="false">S33+T32</f>
        <v>-41455.9459785399</v>
      </c>
      <c r="U33" s="29" t="n">
        <f aca="false">T33+U32</f>
        <v>-22853.1527173566</v>
      </c>
      <c r="V33" s="29" t="n">
        <f aca="false">U33+V32</f>
        <v>-1252.63678950666</v>
      </c>
      <c r="W33" s="29" t="n">
        <f aca="false">V33+W32</f>
        <v>19120.1579608541</v>
      </c>
      <c r="X33" s="29" t="n">
        <f aca="false">W33+X32</f>
        <v>35464.3277492879</v>
      </c>
      <c r="Y33" s="29" t="n">
        <f aca="false">X33+Y32</f>
        <v>45474.3235256227</v>
      </c>
      <c r="Z33" s="29" t="n">
        <f aca="false">Y33+Z32</f>
        <v>57333.9050664597</v>
      </c>
      <c r="AA33" s="29" t="n">
        <f aca="false">Z33+AA32</f>
        <v>70495.7016149112</v>
      </c>
    </row>
    <row r="34" customFormat="false" ht="15" hidden="false" customHeight="false" outlineLevel="0" collapsed="false">
      <c r="A34" s="3" t="s">
        <v>582</v>
      </c>
      <c r="B34" s="3" t="s">
        <v>471</v>
      </c>
      <c r="C34" s="30" t="n">
        <f aca="false">IF(C33&lt;0,1,0)</f>
        <v>0</v>
      </c>
      <c r="D34" s="30" t="n">
        <f aca="false">IF(D33&lt;0,1,0)</f>
        <v>0</v>
      </c>
      <c r="E34" s="30" t="n">
        <f aca="false">IF(E33&lt;0,1,0)</f>
        <v>0</v>
      </c>
      <c r="F34" s="30" t="n">
        <f aca="false">IF(F33&lt;0,1,0)</f>
        <v>1</v>
      </c>
      <c r="G34" s="30" t="n">
        <f aca="false">IF(G33&lt;0,1,0)</f>
        <v>1</v>
      </c>
      <c r="H34" s="30" t="n">
        <f aca="false">IF(H33&lt;0,1,0)</f>
        <v>1</v>
      </c>
      <c r="I34" s="30" t="n">
        <f aca="false">IF(I33&lt;0,1,0)</f>
        <v>1</v>
      </c>
      <c r="J34" s="30" t="n">
        <f aca="false">IF(J33&lt;0,1,0)</f>
        <v>1</v>
      </c>
      <c r="K34" s="30" t="n">
        <f aca="false">IF(K33&lt;0,1,0)</f>
        <v>1</v>
      </c>
      <c r="L34" s="30" t="n">
        <f aca="false">IF(L33&lt;0,1,0)</f>
        <v>1</v>
      </c>
      <c r="M34" s="30" t="n">
        <f aca="false">IF(M33&lt;0,1,0)</f>
        <v>1</v>
      </c>
      <c r="N34" s="30" t="n">
        <f aca="false">IF(N33&lt;0,1,0)</f>
        <v>1</v>
      </c>
      <c r="O34" s="30" t="n">
        <f aca="false">IF(O33&lt;0,1,0)</f>
        <v>1</v>
      </c>
      <c r="P34" s="30" t="n">
        <f aca="false">IF(P33&lt;0,1,0)</f>
        <v>1</v>
      </c>
      <c r="Q34" s="30" t="n">
        <f aca="false">IF(Q33&lt;0,1,0)</f>
        <v>1</v>
      </c>
      <c r="R34" s="30" t="n">
        <f aca="false">IF(R33&lt;0,1,0)</f>
        <v>1</v>
      </c>
      <c r="S34" s="30" t="n">
        <f aca="false">IF(S33&lt;0,1,0)</f>
        <v>1</v>
      </c>
      <c r="T34" s="30" t="n">
        <f aca="false">IF(T33&lt;0,1,0)</f>
        <v>1</v>
      </c>
      <c r="U34" s="30" t="n">
        <f aca="false">IF(U33&lt;0,1,0)</f>
        <v>1</v>
      </c>
      <c r="V34" s="30" t="n">
        <f aca="false">IF(V33&lt;0,1,0)</f>
        <v>1</v>
      </c>
      <c r="W34" s="30" t="n">
        <f aca="false">IF(W33&lt;0,1,0)</f>
        <v>0</v>
      </c>
      <c r="X34" s="30" t="n">
        <f aca="false">IF(X33&lt;0,1,0)</f>
        <v>0</v>
      </c>
      <c r="Y34" s="30" t="n">
        <f aca="false">IF(Y33&lt;0,1,0)</f>
        <v>0</v>
      </c>
      <c r="Z34" s="30" t="n">
        <f aca="false">IF(Z33&lt;0,1,0)</f>
        <v>0</v>
      </c>
      <c r="AA34" s="30" t="n">
        <f aca="false">IF(AA33&lt;0,1,0)</f>
        <v>0</v>
      </c>
    </row>
    <row r="36" customFormat="false" ht="15" hidden="false" customHeight="false" outlineLevel="0" collapsed="false">
      <c r="A36" s="9" t="s">
        <v>583</v>
      </c>
    </row>
    <row r="37" customFormat="false" ht="15" hidden="false" customHeight="false" outlineLevel="0" collapsed="false">
      <c r="A37" s="3" t="s">
        <v>584</v>
      </c>
      <c r="B37" s="3" t="s">
        <v>62</v>
      </c>
      <c r="C37" s="38" t="n">
        <f aca="false">0</f>
        <v>0</v>
      </c>
      <c r="D37" s="38" t="n">
        <f aca="false">D14*D8</f>
        <v>14630</v>
      </c>
      <c r="E37" s="38" t="n">
        <f aca="false">E14*E8</f>
        <v>20083</v>
      </c>
      <c r="F37" s="38" t="n">
        <f aca="false">F14*F8</f>
        <v>26201</v>
      </c>
      <c r="G37" s="38" t="n">
        <f aca="false">G14*G8</f>
        <v>32851</v>
      </c>
      <c r="H37" s="38" t="n">
        <f aca="false">H14*H8</f>
        <v>40166</v>
      </c>
      <c r="I37" s="38" t="n">
        <f aca="false">I14*I8</f>
        <v>47880</v>
      </c>
      <c r="J37" s="38" t="n">
        <f aca="false">J14*J8</f>
        <v>55860</v>
      </c>
      <c r="K37" s="38" t="n">
        <f aca="false">K14*K8</f>
        <v>63840</v>
      </c>
      <c r="L37" s="38" t="n">
        <f aca="false">L14*L8</f>
        <v>72485</v>
      </c>
      <c r="M37" s="38" t="n">
        <f aca="false">M14*M8</f>
        <v>88801.7777777778</v>
      </c>
      <c r="N37" s="38" t="n">
        <f aca="false">N14*N8</f>
        <v>105331.355555556</v>
      </c>
      <c r="O37" s="38" t="n">
        <f aca="false">O14*O8</f>
        <v>120690.533333333</v>
      </c>
      <c r="P37" s="38" t="n">
        <f aca="false">P14*P8</f>
        <v>127872.533333333</v>
      </c>
      <c r="Q37" s="38" t="n">
        <f aca="false">Q14*Q8</f>
        <v>134336.333333333</v>
      </c>
      <c r="R37" s="38" t="n">
        <f aca="false">R14*R8</f>
        <v>140800.133333333</v>
      </c>
      <c r="S37" s="38" t="n">
        <f aca="false">S14*S8</f>
        <v>146545.733333333</v>
      </c>
      <c r="T37" s="38" t="n">
        <f aca="false">T14*T8</f>
        <v>151573.133333333</v>
      </c>
      <c r="U37" s="38" t="n">
        <f aca="false">U14*U8</f>
        <v>155882.333333333</v>
      </c>
      <c r="V37" s="38" t="n">
        <f aca="false">V14*V8</f>
        <v>153868.183333333</v>
      </c>
      <c r="W37" s="38" t="n">
        <f aca="false">W14*W8</f>
        <v>158007.283333333</v>
      </c>
      <c r="X37" s="38" t="n">
        <f aca="false">X14*X8</f>
        <v>162146.383333333</v>
      </c>
      <c r="Y37" s="38" t="n">
        <f aca="false">Y14*Y8</f>
        <v>181534.331666667</v>
      </c>
      <c r="Z37" s="38" t="n">
        <f aca="false">Z14*Z8</f>
        <v>199542.58</v>
      </c>
      <c r="AA37" s="38" t="n">
        <f aca="false">AA14*AA8</f>
        <v>216171.128333333</v>
      </c>
    </row>
    <row r="38" customFormat="false" ht="15" hidden="false" customHeight="false" outlineLevel="0" collapsed="false">
      <c r="A38" s="3" t="s">
        <v>585</v>
      </c>
      <c r="B38" s="3" t="s">
        <v>62</v>
      </c>
      <c r="C38" s="60" t="n">
        <f aca="false">SUMPRODUCT($D$18:$AC$18*(($D$16:$AC$16&lt;=C$5)*(C$5&lt;$D$17:$AC$17)*Assumptions!$F$107+($D$17:$AC$17&lt;=C$5)*(C$5&lt;$D$5:$AC$5)))</f>
        <v>7871.25407925408</v>
      </c>
      <c r="D38" s="60" t="n">
        <f aca="false">SUMPRODUCT($D$18:$AC$18*(($D$16:$AC$16&lt;=D$5)*(D$5&lt;$D$17:$AC$17)*Assumptions!$F$107+($D$17:$AC$17&lt;=D$5)*(D$5&lt;$D$5:$AC$5)))</f>
        <v>4292.29324009324</v>
      </c>
      <c r="E38" s="60" t="n">
        <f aca="false">SUMPRODUCT($D$18:$AC$18*(($D$16:$AC$16&lt;=E$5)*(E$5&lt;$D$17:$AC$17)*Assumptions!$F$107+($D$17:$AC$17&lt;=E$5)*(E$5&lt;$D$5:$AC$5)))</f>
        <v>5485.28018648019</v>
      </c>
      <c r="F38" s="60" t="n">
        <f aca="false">SUMPRODUCT($D$18:$AC$18*(($D$16:$AC$16&lt;=F$5)*(F$5&lt;$D$17:$AC$17)*Assumptions!$F$107+($D$17:$AC$17&lt;=F$5)*(F$5&lt;$D$5:$AC$5)))</f>
        <v>6764.35897435898</v>
      </c>
      <c r="G38" s="60" t="n">
        <f aca="false">SUMPRODUCT($D$18:$AC$18*(($D$16:$AC$16&lt;=G$5)*(G$5&lt;$D$17:$AC$17)*Assumptions!$F$107+($D$17:$AC$17&lt;=G$5)*(G$5&lt;$D$5:$AC$5)))</f>
        <v>8178.72494172494</v>
      </c>
      <c r="H38" s="60" t="n">
        <f aca="false">SUMPRODUCT($D$18:$AC$18*(($D$16:$AC$16&lt;=H$5)*(H$5&lt;$D$17:$AC$17)*Assumptions!$F$107+($D$17:$AC$17&lt;=H$5)*(H$5&lt;$D$5:$AC$5)))</f>
        <v>12938.3738927739</v>
      </c>
      <c r="I38" s="60" t="n">
        <f aca="false">SUMPRODUCT($D$18:$AC$18*(($D$16:$AC$16&lt;=I$5)*(I$5&lt;$D$17:$AC$17)*Assumptions!$F$107+($D$17:$AC$17&lt;=I$5)*(I$5&lt;$D$5:$AC$5)))</f>
        <v>14832.3944055944</v>
      </c>
      <c r="J38" s="60" t="n">
        <f aca="false">SUMPRODUCT($D$18:$AC$18*(($D$16:$AC$16&lt;=J$5)*(J$5&lt;$D$17:$AC$17)*Assumptions!$F$107+($D$17:$AC$17&lt;=J$5)*(J$5&lt;$D$5:$AC$5)))</f>
        <v>16843.2538461539</v>
      </c>
      <c r="K38" s="60" t="n">
        <f aca="false">SUMPRODUCT($D$18:$AC$18*(($D$16:$AC$16&lt;=K$5)*(K$5&lt;$D$17:$AC$17)*Assumptions!$F$107+($D$17:$AC$17&lt;=K$5)*(K$5&lt;$D$5:$AC$5)))</f>
        <v>20133.4849039849</v>
      </c>
      <c r="L38" s="60" t="n">
        <f aca="false">SUMPRODUCT($D$18:$AC$18*(($D$16:$AC$16&lt;=L$5)*(L$5&lt;$D$17:$AC$17)*Assumptions!$F$107+($D$17:$AC$17&lt;=L$5)*(L$5&lt;$D$5:$AC$5)))</f>
        <v>25628.7603337403</v>
      </c>
      <c r="M38" s="60" t="n">
        <f aca="false">SUMPRODUCT($D$18:$AC$18*(($D$16:$AC$16&lt;=M$5)*(M$5&lt;$D$17:$AC$17)*Assumptions!$F$107+($D$17:$AC$17&lt;=M$5)*(M$5&lt;$D$5:$AC$5)))</f>
        <v>27594.1140866541</v>
      </c>
      <c r="N38" s="60" t="n">
        <f aca="false">SUMPRODUCT($D$18:$AC$18*(($D$16:$AC$16&lt;=N$5)*(N$5&lt;$D$17:$AC$17)*Assumptions!$F$107+($D$17:$AC$17&lt;=N$5)*(N$5&lt;$D$5:$AC$5)))</f>
        <v>29483.2736315536</v>
      </c>
      <c r="O38" s="60" t="n">
        <f aca="false">SUMPRODUCT($D$18:$AC$18*(($D$16:$AC$16&lt;=O$5)*(O$5&lt;$D$17:$AC$17)*Assumptions!$F$107+($D$17:$AC$17&lt;=O$5)*(O$5&lt;$D$5:$AC$5)))</f>
        <v>31813.4420508381</v>
      </c>
      <c r="P38" s="60" t="n">
        <f aca="false">SUMPRODUCT($D$18:$AC$18*(($D$16:$AC$16&lt;=P$5)*(P$5&lt;$D$17:$AC$17)*Assumptions!$F$107+($D$17:$AC$17&lt;=P$5)*(P$5&lt;$D$5:$AC$5)))</f>
        <v>33433.9364844045</v>
      </c>
      <c r="Q38" s="60" t="n">
        <f aca="false">SUMPRODUCT($D$18:$AC$18*(($D$16:$AC$16&lt;=Q$5)*(Q$5&lt;$D$17:$AC$17)*Assumptions!$F$107+($D$17:$AC$17&lt;=Q$5)*(Q$5&lt;$D$5:$AC$5)))</f>
        <v>34888.3966522366</v>
      </c>
      <c r="R38" s="60" t="n">
        <f aca="false">SUMPRODUCT($D$18:$AC$18*(($D$16:$AC$16&lt;=R$5)*(R$5&lt;$D$17:$AC$17)*Assumptions!$F$107+($D$17:$AC$17&lt;=R$5)*(R$5&lt;$D$5:$AC$5)))</f>
        <v>36010.7882886003</v>
      </c>
      <c r="S38" s="60" t="n">
        <f aca="false">SUMPRODUCT($D$18:$AC$18*(($D$16:$AC$16&lt;=S$5)*(S$5&lt;$D$17:$AC$17)*Assumptions!$F$107+($D$17:$AC$17&lt;=S$5)*(S$5&lt;$D$5:$AC$5)))</f>
        <v>37133.1799249639</v>
      </c>
      <c r="T38" s="60" t="n">
        <f aca="false">SUMPRODUCT($D$18:$AC$18*(($D$16:$AC$16&lt;=T$5)*(T$5&lt;$D$17:$AC$17)*Assumptions!$F$107+($D$17:$AC$17&lt;=T$5)*(T$5&lt;$D$5:$AC$5)))</f>
        <v>38235.6474494394</v>
      </c>
      <c r="U38" s="60" t="n">
        <f aca="false">SUMPRODUCT($D$18:$AC$18*(($D$16:$AC$16&lt;=U$5)*(U$5&lt;$D$17:$AC$17)*Assumptions!$F$107+($D$17:$AC$17&lt;=U$5)*(U$5&lt;$D$5:$AC$5)))</f>
        <v>39271.7012676213</v>
      </c>
      <c r="V38" s="60" t="n">
        <f aca="false">SUMPRODUCT($D$18:$AC$18*(($D$16:$AC$16&lt;=V$5)*(V$5&lt;$D$17:$AC$17)*Assumptions!$F$107+($D$17:$AC$17&lt;=V$5)*(V$5&lt;$D$5:$AC$5)))</f>
        <v>40307.7550858031</v>
      </c>
      <c r="W38" s="60" t="n">
        <f aca="false">SUMPRODUCT($D$18:$AC$18*(($D$16:$AC$16&lt;=W$5)*(W$5&lt;$D$17:$AC$17)*Assumptions!$F$107+($D$17:$AC$17&lt;=W$5)*(W$5&lt;$D$5:$AC$5)))</f>
        <v>43545.8800814741</v>
      </c>
      <c r="X38" s="60" t="n">
        <f aca="false">SUMPRODUCT($D$18:$AC$18*(($D$16:$AC$16&lt;=X$5)*(X$5&lt;$D$17:$AC$17)*Assumptions!$F$107+($D$17:$AC$17&lt;=X$5)*(X$5&lt;$D$5:$AC$5)))</f>
        <v>51722.9300390721</v>
      </c>
      <c r="Y38" s="60" t="n">
        <f aca="false">SUMPRODUCT($D$18:$AC$18*(($D$16:$AC$16&lt;=Y$5)*(Y$5&lt;$D$17:$AC$17)*Assumptions!$F$107+($D$17:$AC$17&lt;=Y$5)*(Y$5&lt;$D$5:$AC$5)))</f>
        <v>51895.6056754357</v>
      </c>
      <c r="Z38" s="60" t="n">
        <f aca="false">SUMPRODUCT($D$18:$AC$18*(($D$16:$AC$16&lt;=Z$5)*(Z$5&lt;$D$17:$AC$17)*Assumptions!$F$107+($D$17:$AC$17&lt;=Z$5)*(Z$5&lt;$D$5:$AC$5)))</f>
        <v>52508.6955472972</v>
      </c>
      <c r="AA38" s="60" t="n">
        <f aca="false">SUMPRODUCT($D$18:$AC$18*(($D$16:$AC$16&lt;=AA$5)*(AA$5&lt;$D$17:$AC$17)*Assumptions!$F$107+($D$17:$AC$17&lt;=AA$5)*(AA$5&lt;$D$5:$AC$5)))</f>
        <v>54109.570411544</v>
      </c>
    </row>
    <row r="39" customFormat="false" ht="15" hidden="false" customHeight="false" outlineLevel="0" collapsed="false">
      <c r="A39" s="3" t="s">
        <v>586</v>
      </c>
      <c r="B39" s="3" t="s">
        <v>62</v>
      </c>
      <c r="C39" s="38" t="n">
        <f aca="false">0</f>
        <v>0</v>
      </c>
      <c r="D39" s="60" t="n">
        <f aca="false">'Monthly PL Y1 Y2'!D55</f>
        <v>-10458.99</v>
      </c>
      <c r="E39" s="60" t="n">
        <f aca="false">'Monthly PL Y1 Y2'!E55</f>
        <v>-1000.39</v>
      </c>
      <c r="F39" s="60" t="n">
        <f aca="false">'Monthly PL Y1 Y2'!F55</f>
        <v>-1055.59</v>
      </c>
      <c r="G39" s="60" t="n">
        <f aca="false">'Monthly PL Y1 Y2'!G55</f>
        <v>560.01</v>
      </c>
      <c r="H39" s="60" t="n">
        <f aca="false">'Monthly PL Y1 Y2'!H55</f>
        <v>995.01</v>
      </c>
      <c r="I39" s="60" t="n">
        <f aca="false">'Monthly PL Y1 Y2'!I55</f>
        <v>1488.01</v>
      </c>
      <c r="J39" s="60" t="n">
        <f aca="false">'Monthly PL Y1 Y2'!J55</f>
        <v>4950.01</v>
      </c>
      <c r="K39" s="60" t="n">
        <f aca="false">'Monthly PL Y1 Y2'!K55</f>
        <v>6118.01</v>
      </c>
      <c r="L39" s="60" t="n">
        <f aca="false">'Monthly PL Y1 Y2'!L55</f>
        <v>7286.01</v>
      </c>
      <c r="M39" s="60" t="n">
        <f aca="false">'Monthly PL Y1 Y2'!M55</f>
        <v>8454.01</v>
      </c>
      <c r="N39" s="60" t="n">
        <f aca="false">'Monthly PL Y1 Y2'!N55</f>
        <v>9622.01</v>
      </c>
      <c r="O39" s="60" t="n">
        <f aca="false">'Monthly PL Y1 Y2'!O55</f>
        <v>11082.01</v>
      </c>
      <c r="P39" s="60" t="n">
        <f aca="false">'Monthly PL Y1 Y2'!P55</f>
        <v>19038.9750793651</v>
      </c>
      <c r="Q39" s="60" t="n">
        <f aca="false">'Monthly PL Y1 Y2'!Q55</f>
        <v>20714.4950793651</v>
      </c>
      <c r="R39" s="60" t="n">
        <f aca="false">'Monthly PL Y1 Y2'!R55</f>
        <v>21971.1350793651</v>
      </c>
      <c r="S39" s="60" t="n">
        <f aca="false">'Monthly PL Y1 Y2'!S55</f>
        <v>23227.7750793651</v>
      </c>
      <c r="T39" s="60" t="n">
        <f aca="false">'Monthly PL Y1 Y2'!T55</f>
        <v>24484.4150793651</v>
      </c>
      <c r="U39" s="60" t="n">
        <f aca="false">'Monthly PL Y1 Y2'!U55</f>
        <v>25741.0550793651</v>
      </c>
      <c r="V39" s="60" t="n">
        <f aca="false">'Monthly PL Y1 Y2'!V55</f>
        <v>28037.1584126984</v>
      </c>
      <c r="W39" s="60" t="n">
        <f aca="false">'Monthly PL Y1 Y2'!W55</f>
        <v>28947.4584126984</v>
      </c>
      <c r="X39" s="60" t="n">
        <f aca="false">'Monthly PL Y1 Y2'!X55</f>
        <v>29857.7584126984</v>
      </c>
      <c r="Y39" s="60" t="n">
        <f aca="false">'Monthly PL Y1 Y2'!Y55</f>
        <v>30768.0584126984</v>
      </c>
      <c r="Z39" s="60" t="n">
        <f aca="false">'Monthly PL Y1 Y2'!Z55</f>
        <v>31678.3584126984</v>
      </c>
      <c r="AA39" s="60" t="n">
        <f aca="false">'Monthly PL Y1 Y2'!AA55</f>
        <v>32588.6584126984</v>
      </c>
    </row>
    <row r="40" customFormat="false" ht="15" hidden="false" customHeight="false" outlineLevel="0" collapsed="false">
      <c r="A40" s="3" t="s">
        <v>587</v>
      </c>
      <c r="B40" s="3" t="s">
        <v>62</v>
      </c>
      <c r="C40" s="38" t="n">
        <f aca="false">0</f>
        <v>0</v>
      </c>
      <c r="D40" s="38" t="n">
        <f aca="false">D39-(D28-C28)</f>
        <v>-11543.99</v>
      </c>
      <c r="E40" s="38" t="n">
        <f aca="false">E39-(E28-D28)</f>
        <v>-1651.39</v>
      </c>
      <c r="F40" s="38" t="n">
        <f aca="false">F39-(F28-E28)</f>
        <v>-1923.59</v>
      </c>
      <c r="G40" s="38" t="n">
        <f aca="false">G39-(G28-F28)</f>
        <v>-1236.65666666667</v>
      </c>
      <c r="H40" s="38" t="n">
        <f aca="false">H39-(H28-G28)</f>
        <v>-325.19</v>
      </c>
      <c r="I40" s="38" t="n">
        <f aca="false">I39-(I28-H28)</f>
        <v>-8.21666666666829</v>
      </c>
      <c r="J40" s="38" t="n">
        <f aca="false">J39-(J28-I28)</f>
        <v>1993.77</v>
      </c>
      <c r="K40" s="38" t="n">
        <f aca="false">K39-(K28-J28)</f>
        <v>4083.34333333333</v>
      </c>
      <c r="L40" s="38" t="n">
        <f aca="false">L39-(L28-K28)</f>
        <v>5251.34333333333</v>
      </c>
      <c r="M40" s="38" t="n">
        <f aca="false">M39-(M28-L28)</f>
        <v>6419.34333333333</v>
      </c>
      <c r="N40" s="38" t="n">
        <f aca="false">N39-(N28-M28)</f>
        <v>7587.34333333333</v>
      </c>
      <c r="O40" s="38" t="n">
        <f aca="false">O39-(O28-N28)</f>
        <v>8538.67666666667</v>
      </c>
      <c r="P40" s="38" t="n">
        <f aca="false">P39-(P28-O28)</f>
        <v>9539.92915343916</v>
      </c>
      <c r="Q40" s="38" t="n">
        <f aca="false">Q39-(Q28-P28)</f>
        <v>18323.8177460317</v>
      </c>
      <c r="R40" s="38" t="n">
        <f aca="false">R39-(R28-Q28)</f>
        <v>20178.1270793651</v>
      </c>
      <c r="S40" s="38" t="n">
        <f aca="false">S39-(S28-R28)</f>
        <v>21434.7670793651</v>
      </c>
      <c r="T40" s="38" t="n">
        <f aca="false">T39-(T28-S28)</f>
        <v>22691.4070793651</v>
      </c>
      <c r="U40" s="38" t="n">
        <f aca="false">U39-(U28-T28)</f>
        <v>23948.0470793651</v>
      </c>
      <c r="V40" s="38" t="n">
        <f aca="false">V39-(V28-U28)</f>
        <v>26775.6697460318</v>
      </c>
      <c r="W40" s="38" t="n">
        <f aca="false">W39-(W28-V28)</f>
        <v>27750.0197460317</v>
      </c>
      <c r="X40" s="38" t="n">
        <f aca="false">X39-(X28-W28)</f>
        <v>28660.3197460318</v>
      </c>
      <c r="Y40" s="38" t="n">
        <f aca="false">Y39-(Y28-X28)</f>
        <v>29570.6197460317</v>
      </c>
      <c r="Z40" s="38" t="n">
        <f aca="false">Z39-(Z28-Y28)</f>
        <v>30480.9197460318</v>
      </c>
      <c r="AA40" s="38" t="n">
        <f aca="false">AA39-(AA28-Z28)</f>
        <v>31391.2197460317</v>
      </c>
    </row>
    <row r="42" customFormat="false" ht="15" hidden="false" customHeight="false" outlineLevel="0" collapsed="false">
      <c r="A42" s="5" t="s">
        <v>588</v>
      </c>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row>
    <row r="43" customFormat="false" ht="15" hidden="false" customHeight="false" outlineLevel="0" collapsed="false">
      <c r="A43" s="3" t="s">
        <v>589</v>
      </c>
      <c r="C43" s="63" t="n">
        <f aca="false">MIN($C$33:$AA$33)</f>
        <v>-96319.1887175048</v>
      </c>
    </row>
    <row r="44" customFormat="false" ht="15" hidden="false" customHeight="false" outlineLevel="0" collapsed="false">
      <c r="A44" s="3" t="s">
        <v>590</v>
      </c>
      <c r="C44" s="64" t="n">
        <f aca="false">INDEX($C$5:$AA$5,1,MATCH(C43,$C$33:$AA$33,0))</f>
        <v>12</v>
      </c>
    </row>
    <row r="45" customFormat="false" ht="15" hidden="false" customHeight="false" outlineLevel="0" collapsed="false">
      <c r="A45" s="3" t="s">
        <v>591</v>
      </c>
      <c r="C45" s="63" t="n">
        <f aca="false">MIN(C43,$C$64:$E$64)</f>
        <v>-96319.1887175048</v>
      </c>
    </row>
    <row r="46" customFormat="false" ht="15" hidden="false" customHeight="false" outlineLevel="0" collapsed="false">
      <c r="A46" s="3" t="s">
        <v>592</v>
      </c>
      <c r="C46" s="8" t="str">
        <f aca="false">IF(C43&lt;=MIN($C$64:$E$64),"Month "&amp;C44,CHOOSE(MATCH(C45,$C$64:$E$64,0),"Year 3","Year 4","Year 5"))</f>
        <v>Month 12</v>
      </c>
    </row>
    <row r="47" customFormat="false" ht="15" hidden="false" customHeight="false" outlineLevel="0" collapsed="false">
      <c r="A47" s="3" t="s">
        <v>593</v>
      </c>
      <c r="C47" s="64" t="n">
        <f aca="false">IF(C43&lt;=MIN($C$64:$E$64),C44,24+12*MATCH(C45,$C$64:$E$64,0))</f>
        <v>12</v>
      </c>
    </row>
    <row r="48" customFormat="false" ht="15" hidden="false" customHeight="false" outlineLevel="0" collapsed="false">
      <c r="A48" s="3" t="s">
        <v>594</v>
      </c>
      <c r="C48" s="63" t="n">
        <f aca="false">MAX(0,-C45)</f>
        <v>96319.1887175048</v>
      </c>
    </row>
    <row r="49" customFormat="false" ht="15" hidden="false" customHeight="false" outlineLevel="0" collapsed="false">
      <c r="A49" s="3" t="s">
        <v>595</v>
      </c>
      <c r="C49" s="67" t="n">
        <f aca="false">C48*Assumptions!$F$110</f>
        <v>115583.026461006</v>
      </c>
    </row>
    <row r="50" customFormat="false" ht="15" hidden="false" customHeight="false" outlineLevel="0" collapsed="false">
      <c r="A50" s="3" t="s">
        <v>596</v>
      </c>
      <c r="C50" s="64" t="n">
        <f aca="false">IFERROR(MAX(0,INDEX($C$5:$AA$5,1,MATCH(1,$C$34:$AA$34,0))-1),"none")</f>
        <v>2</v>
      </c>
    </row>
    <row r="51" customFormat="false" ht="15" hidden="false" customHeight="false" outlineLevel="0" collapsed="false">
      <c r="A51" s="3" t="s">
        <v>597</v>
      </c>
      <c r="C51" s="38" t="n">
        <f aca="false">AVERAGE($G$32:$I$32)</f>
        <v>-10439.0329215229</v>
      </c>
    </row>
    <row r="52" customFormat="false" ht="15" hidden="false" customHeight="false" outlineLevel="0" collapsed="false">
      <c r="A52" s="3" t="s">
        <v>598</v>
      </c>
      <c r="C52" s="68" t="n">
        <f aca="false">IF(C51&lt;0,MAX(0,$F$33)/-C51,"funded")</f>
        <v>0</v>
      </c>
    </row>
    <row r="53" customFormat="false" ht="15" hidden="false" customHeight="false" outlineLevel="0" collapsed="false">
      <c r="A53" s="3" t="s">
        <v>599</v>
      </c>
      <c r="B53" s="3" t="s">
        <v>62</v>
      </c>
      <c r="C53" s="38" t="n">
        <f aca="false">IF(C$5=$C$50,$C$49,0)</f>
        <v>0</v>
      </c>
      <c r="D53" s="38" t="n">
        <f aca="false">IF(D$5=$C$50,$C$49,0)</f>
        <v>0</v>
      </c>
      <c r="E53" s="38" t="n">
        <f aca="false">IF(E$5=$C$50,$C$49,0)</f>
        <v>115583.026461006</v>
      </c>
      <c r="F53" s="38" t="n">
        <f aca="false">IF(F$5=$C$50,$C$49,0)</f>
        <v>0</v>
      </c>
      <c r="G53" s="38" t="n">
        <f aca="false">IF(G$5=$C$50,$C$49,0)</f>
        <v>0</v>
      </c>
      <c r="H53" s="38" t="n">
        <f aca="false">IF(H$5=$C$50,$C$49,0)</f>
        <v>0</v>
      </c>
      <c r="I53" s="38" t="n">
        <f aca="false">IF(I$5=$C$50,$C$49,0)</f>
        <v>0</v>
      </c>
      <c r="J53" s="38" t="n">
        <f aca="false">IF(J$5=$C$50,$C$49,0)</f>
        <v>0</v>
      </c>
      <c r="K53" s="38" t="n">
        <f aca="false">IF(K$5=$C$50,$C$49,0)</f>
        <v>0</v>
      </c>
      <c r="L53" s="38" t="n">
        <f aca="false">IF(L$5=$C$50,$C$49,0)</f>
        <v>0</v>
      </c>
      <c r="M53" s="38" t="n">
        <f aca="false">IF(M$5=$C$50,$C$49,0)</f>
        <v>0</v>
      </c>
      <c r="N53" s="38" t="n">
        <f aca="false">IF(N$5=$C$50,$C$49,0)</f>
        <v>0</v>
      </c>
      <c r="O53" s="38" t="n">
        <f aca="false">IF(O$5=$C$50,$C$49,0)</f>
        <v>0</v>
      </c>
      <c r="P53" s="38" t="n">
        <f aca="false">IF(P$5=$C$50,$C$49,0)</f>
        <v>0</v>
      </c>
      <c r="Q53" s="38" t="n">
        <f aca="false">IF(Q$5=$C$50,$C$49,0)</f>
        <v>0</v>
      </c>
      <c r="R53" s="38" t="n">
        <f aca="false">IF(R$5=$C$50,$C$49,0)</f>
        <v>0</v>
      </c>
      <c r="S53" s="38" t="n">
        <f aca="false">IF(S$5=$C$50,$C$49,0)</f>
        <v>0</v>
      </c>
      <c r="T53" s="38" t="n">
        <f aca="false">IF(T$5=$C$50,$C$49,0)</f>
        <v>0</v>
      </c>
      <c r="U53" s="38" t="n">
        <f aca="false">IF(U$5=$C$50,$C$49,0)</f>
        <v>0</v>
      </c>
      <c r="V53" s="38" t="n">
        <f aca="false">IF(V$5=$C$50,$C$49,0)</f>
        <v>0</v>
      </c>
      <c r="W53" s="38" t="n">
        <f aca="false">IF(W$5=$C$50,$C$49,0)</f>
        <v>0</v>
      </c>
      <c r="X53" s="38" t="n">
        <f aca="false">IF(X$5=$C$50,$C$49,0)</f>
        <v>0</v>
      </c>
      <c r="Y53" s="38" t="n">
        <f aca="false">IF(Y$5=$C$50,$C$49,0)</f>
        <v>0</v>
      </c>
      <c r="Z53" s="38" t="n">
        <f aca="false">IF(Z$5=$C$50,$C$49,0)</f>
        <v>0</v>
      </c>
      <c r="AA53" s="38" t="n">
        <f aca="false">IF(AA$5=$C$50,$C$49,0)</f>
        <v>0</v>
      </c>
    </row>
    <row r="54" customFormat="false" ht="15" hidden="false" customHeight="false" outlineLevel="0" collapsed="false">
      <c r="A54" s="9" t="s">
        <v>600</v>
      </c>
      <c r="B54" s="3" t="s">
        <v>62</v>
      </c>
      <c r="C54" s="29" t="n">
        <f aca="false">C33+C53</f>
        <v>31128.7459207459</v>
      </c>
      <c r="D54" s="29" t="n">
        <f aca="false">C54+D32+D53</f>
        <v>8533.71675990675</v>
      </c>
      <c r="E54" s="29" t="n">
        <f aca="false">D54+E32+E53</f>
        <v>115819.366274526</v>
      </c>
      <c r="F54" s="29" t="n">
        <f aca="false">E54+F32+F53</f>
        <v>106498.697486647</v>
      </c>
      <c r="G54" s="29" t="n">
        <f aca="false">F54+G32+G53</f>
        <v>97197.6748526141</v>
      </c>
      <c r="H54" s="29" t="n">
        <f aca="false">G54+H32+H53</f>
        <v>84797.8359015651</v>
      </c>
      <c r="I54" s="29" t="n">
        <f aca="false">H54+I32+I53</f>
        <v>75181.598722078</v>
      </c>
      <c r="J54" s="29" t="n">
        <f aca="false">I54+J32+J53</f>
        <v>67184.5092815185</v>
      </c>
      <c r="K54" s="29" t="n">
        <f aca="false">J54+K32+K53</f>
        <v>59997.6215570208</v>
      </c>
      <c r="L54" s="29" t="n">
        <f aca="false">K54+L32+L53</f>
        <v>51108.6894605987</v>
      </c>
      <c r="M54" s="29" t="n">
        <f aca="false">L54+M32+M53</f>
        <v>39245.9012632405</v>
      </c>
      <c r="N54" s="29" t="n">
        <f aca="false">M54+N32+N53</f>
        <v>28414.5072738965</v>
      </c>
      <c r="O54" s="29" t="n">
        <f aca="false">N54+O32+O53</f>
        <v>19263.837743501</v>
      </c>
      <c r="P54" s="29" t="n">
        <f aca="false">O54+P32+P53</f>
        <v>20001.2724633737</v>
      </c>
      <c r="Q54" s="29" t="n">
        <f aca="false">P54+Q32+Q53</f>
        <v>30406.8300415733</v>
      </c>
      <c r="R54" s="29" t="n">
        <f aca="false">Q54+R32+R53</f>
        <v>42998.7654845748</v>
      </c>
      <c r="S54" s="29" t="n">
        <f aca="false">R54+S32+S53</f>
        <v>57565.5409275762</v>
      </c>
      <c r="T54" s="29" t="n">
        <f aca="false">S54+T32+T53</f>
        <v>74127.0804824658</v>
      </c>
      <c r="U54" s="29" t="n">
        <f aca="false">T54+U32+U53</f>
        <v>92729.8737436491</v>
      </c>
      <c r="V54" s="29" t="n">
        <f aca="false">U54+V32+V53</f>
        <v>114330.389671499</v>
      </c>
      <c r="W54" s="29" t="n">
        <f aca="false">V54+W32+W53</f>
        <v>134703.18442186</v>
      </c>
      <c r="X54" s="29" t="n">
        <f aca="false">W54+X32+X53</f>
        <v>151047.354210294</v>
      </c>
      <c r="Y54" s="29" t="n">
        <f aca="false">X54+Y32+Y53</f>
        <v>161057.349986628</v>
      </c>
      <c r="Z54" s="29" t="n">
        <f aca="false">Y54+Z32+Z53</f>
        <v>172916.931527465</v>
      </c>
      <c r="AA54" s="29" t="n">
        <f aca="false">Z54+AA32+AA53</f>
        <v>186078.728075917</v>
      </c>
    </row>
    <row r="55" customFormat="false" ht="15" hidden="false" customHeight="false" outlineLevel="0" collapsed="false">
      <c r="A55" s="3" t="s">
        <v>601</v>
      </c>
      <c r="C55" s="68" t="n">
        <f aca="false">IF(C51&lt;0,MAX(0,$F$54)/-C51,"funded")</f>
        <v>10.2019696927165</v>
      </c>
    </row>
    <row r="57" customFormat="false" ht="15" hidden="false" customHeight="false" outlineLevel="0" collapsed="false">
      <c r="A57" s="9" t="s">
        <v>602</v>
      </c>
      <c r="C57" s="14" t="s">
        <v>512</v>
      </c>
      <c r="D57" s="14" t="s">
        <v>513</v>
      </c>
      <c r="E57" s="14" t="s">
        <v>514</v>
      </c>
    </row>
    <row r="58" customFormat="false" ht="15" hidden="false" customHeight="false" outlineLevel="0" collapsed="false">
      <c r="A58" s="3" t="s">
        <v>603</v>
      </c>
      <c r="C58" s="60" t="n">
        <f aca="false">'Annual PL Y1 to Y5'!E80</f>
        <v>426207.558621376</v>
      </c>
      <c r="D58" s="60" t="n">
        <f aca="false">'Annual PL Y1 to Y5'!F80</f>
        <v>540707.58083153</v>
      </c>
      <c r="E58" s="60" t="n">
        <f aca="false">'Annual PL Y1 to Y5'!G80</f>
        <v>612714.567622496</v>
      </c>
    </row>
    <row r="59" customFormat="false" ht="15" hidden="false" customHeight="false" outlineLevel="0" collapsed="false">
      <c r="A59" s="3" t="s">
        <v>604</v>
      </c>
      <c r="C59" s="60" t="n">
        <f aca="false">'Annual PL Y1 to Y5'!E70*Assumptions!$F$105/365</f>
        <v>270278.046890667</v>
      </c>
      <c r="D59" s="60" t="n">
        <f aca="false">'Annual PL Y1 to Y5'!F70*Assumptions!$F$105/365</f>
        <v>392731.590886785</v>
      </c>
      <c r="E59" s="60" t="n">
        <f aca="false">'Annual PL Y1 to Y5'!G70*Assumptions!$F$105/365</f>
        <v>506359.846966633</v>
      </c>
    </row>
    <row r="60" customFormat="false" ht="15" hidden="false" customHeight="false" outlineLevel="0" collapsed="false">
      <c r="A60" s="3" t="s">
        <v>605</v>
      </c>
      <c r="C60" s="60" t="n">
        <f aca="false">'Annual PL Y1 to Y5'!E69*Assumptions!$F$109/365</f>
        <v>100174.746161096</v>
      </c>
      <c r="D60" s="60" t="n">
        <f aca="false">'Annual PL Y1 to Y5'!F69*Assumptions!$F$109/365</f>
        <v>140213.057379118</v>
      </c>
      <c r="E60" s="60" t="n">
        <f aca="false">'Annual PL Y1 to Y5'!G69*Assumptions!$F$109/365</f>
        <v>175526.569704986</v>
      </c>
    </row>
    <row r="61" customFormat="false" ht="15" hidden="false" customHeight="false" outlineLevel="0" collapsed="false">
      <c r="A61" s="3" t="s">
        <v>606</v>
      </c>
      <c r="C61" s="38" t="n">
        <f aca="false">C59-($AA$37+$AA$38)</f>
        <v>-2.65185421070782</v>
      </c>
      <c r="D61" s="38" t="n">
        <f aca="false">D59-C59</f>
        <v>122453.543996119</v>
      </c>
      <c r="E61" s="38" t="n">
        <f aca="false">E59-D59</f>
        <v>113628.256079848</v>
      </c>
    </row>
    <row r="62" customFormat="false" ht="15" hidden="false" customHeight="false" outlineLevel="0" collapsed="false">
      <c r="A62" s="3" t="s">
        <v>607</v>
      </c>
      <c r="C62" s="38" t="n">
        <f aca="false">C60-$AA$28</f>
        <v>53008.9755685033</v>
      </c>
      <c r="D62" s="38" t="n">
        <f aca="false">D60-C60</f>
        <v>40038.3112180217</v>
      </c>
      <c r="E62" s="38" t="n">
        <f aca="false">E60-D60</f>
        <v>35313.5123258685</v>
      </c>
    </row>
    <row r="63" customFormat="false" ht="15" hidden="false" customHeight="false" outlineLevel="0" collapsed="false">
      <c r="A63" s="3" t="s">
        <v>580</v>
      </c>
      <c r="C63" s="38" t="n">
        <f aca="false">C58-C61-C62</f>
        <v>373201.234907083</v>
      </c>
      <c r="D63" s="38" t="n">
        <f aca="false">D58-D61-D62</f>
        <v>378215.725617389</v>
      </c>
      <c r="E63" s="38" t="n">
        <f aca="false">E58-E61-E62</f>
        <v>463772.799216779</v>
      </c>
    </row>
    <row r="64" customFormat="false" ht="15" hidden="false" customHeight="false" outlineLevel="0" collapsed="false">
      <c r="A64" s="3" t="s">
        <v>608</v>
      </c>
      <c r="C64" s="29" t="n">
        <f aca="false">$AA$33+C63</f>
        <v>443696.936521994</v>
      </c>
      <c r="D64" s="29" t="n">
        <f aca="false">C64+D63</f>
        <v>821912.662139383</v>
      </c>
      <c r="E64" s="29" t="n">
        <f aca="false">D64+E63</f>
        <v>1285685.46135616</v>
      </c>
    </row>
    <row r="65" customFormat="false" ht="15" hidden="false" customHeight="false" outlineLevel="0" collapsed="false">
      <c r="A65" s="3" t="s">
        <v>609</v>
      </c>
      <c r="C65" s="29" t="n">
        <f aca="false">$AA$54+C63</f>
        <v>559279.962983</v>
      </c>
      <c r="D65" s="29" t="n">
        <f aca="false">C65+D63</f>
        <v>937495.688600389</v>
      </c>
      <c r="E65" s="29" t="n">
        <f aca="false">D65+E63</f>
        <v>1401268.48781717</v>
      </c>
    </row>
    <row r="67" customFormat="false" ht="15" hidden="false" customHeight="false" outlineLevel="0" collapsed="false">
      <c r="A67" s="4" t="s">
        <v>610</v>
      </c>
    </row>
    <row r="68" customFormat="false" ht="15" hidden="false" customHeight="false" outlineLevel="0" collapsed="false">
      <c r="A68" s="4"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0"/>
    <col collapsed="false" customWidth="true" hidden="false" outlineLevel="0" max="2" min="2" style="1" width="20"/>
    <col collapsed="false" customWidth="true" hidden="false" outlineLevel="0" max="3" min="3" style="1" width="30"/>
    <col collapsed="false" customWidth="true" hidden="false" outlineLevel="0" max="4" min="4" style="1" width="44"/>
    <col collapsed="false" customWidth="true" hidden="false" outlineLevel="0" max="6" min="5" style="1" width="10"/>
    <col collapsed="false" customWidth="true" hidden="false" outlineLevel="0" max="7" min="7" style="1" width="70"/>
  </cols>
  <sheetData>
    <row r="1" customFormat="false" ht="17.35" hidden="false" customHeight="false" outlineLevel="0" collapsed="false">
      <c r="A1" s="11" t="s">
        <v>32</v>
      </c>
    </row>
    <row r="2" customFormat="false" ht="15" hidden="false" customHeight="false" outlineLevel="0" collapsed="false">
      <c r="A2" s="3" t="str">
        <f aca="false">"Active scenario: "&amp;ScenarioName&amp;". Opening capital, breakeven, the funding plan, the Day 90 and Month 12 gates and the Plan B summary."</f>
        <v>Active scenario: Medium. Opening capital, breakeven, the funding plan, the Day 90 and Month 12 gates and the Plan B summary.</v>
      </c>
    </row>
    <row r="4" customFormat="false" ht="15" hidden="false" customHeight="false" outlineLevel="0" collapsed="false">
      <c r="A4" s="5" t="s">
        <v>612</v>
      </c>
      <c r="B4" s="15"/>
      <c r="C4" s="15"/>
      <c r="D4" s="15"/>
      <c r="E4" s="15"/>
      <c r="F4" s="15"/>
      <c r="G4" s="15"/>
    </row>
    <row r="5" customFormat="false" ht="15" hidden="false" customHeight="false" outlineLevel="0" collapsed="false">
      <c r="A5" s="3" t="s">
        <v>613</v>
      </c>
      <c r="B5" s="67" t="n">
        <f aca="false">Assumptions!$F$106</f>
        <v>39000</v>
      </c>
      <c r="C5" s="3" t="s">
        <v>614</v>
      </c>
    </row>
    <row r="6" customFormat="false" ht="15" hidden="false" customHeight="false" outlineLevel="0" collapsed="false">
      <c r="A6" s="3" t="s">
        <v>615</v>
      </c>
      <c r="B6" s="69" t="n">
        <f aca="false">'Monthly PL Y1 Y2'!$C$63</f>
        <v>8</v>
      </c>
      <c r="C6" s="3" t="s">
        <v>616</v>
      </c>
    </row>
    <row r="7" customFormat="false" ht="15" hidden="false" customHeight="false" outlineLevel="0" collapsed="false">
      <c r="A7" s="3" t="s">
        <v>617</v>
      </c>
      <c r="B7" s="69" t="n">
        <f aca="false">'Monthly PL Y1 Y2'!$C$67</f>
        <v>8</v>
      </c>
      <c r="C7" s="3"/>
    </row>
    <row r="8" customFormat="false" ht="15" hidden="false" customHeight="false" outlineLevel="0" collapsed="false">
      <c r="A8" s="3" t="s">
        <v>618</v>
      </c>
      <c r="B8" s="67" t="n">
        <f aca="false">'Monthly PL Y1 Y2'!$O$22</f>
        <v>38040.12</v>
      </c>
      <c r="C8" s="3"/>
    </row>
    <row r="9" customFormat="false" ht="15" hidden="false" customHeight="false" outlineLevel="0" collapsed="false">
      <c r="A9" s="3" t="s">
        <v>619</v>
      </c>
      <c r="B9" s="67" t="n">
        <f aca="false">'Monthly PL Y1 Y2'!$AA$56</f>
        <v>355095.420952381</v>
      </c>
      <c r="C9" s="3"/>
    </row>
    <row r="10" customFormat="false" ht="15" hidden="false" customHeight="false" outlineLevel="0" collapsed="false">
      <c r="A10" s="3" t="s">
        <v>620</v>
      </c>
      <c r="B10" s="67" t="n">
        <f aca="false">'Cash Flow and Working Capital'!$C$48</f>
        <v>96319.1887175048</v>
      </c>
      <c r="C10" s="3"/>
    </row>
    <row r="11" customFormat="false" ht="15" hidden="false" customHeight="false" outlineLevel="0" collapsed="false">
      <c r="A11" s="3" t="s">
        <v>621</v>
      </c>
      <c r="B11" s="70" t="str">
        <f aca="false">'Cash Flow and Working Capital'!$C$46</f>
        <v>Month 12</v>
      </c>
      <c r="C11" s="3"/>
    </row>
    <row r="12" customFormat="false" ht="15" hidden="false" customHeight="false" outlineLevel="0" collapsed="false">
      <c r="A12" s="3" t="s">
        <v>622</v>
      </c>
      <c r="B12" s="67" t="n">
        <f aca="false">'Cash Flow and Working Capital'!$C$49</f>
        <v>115583.026461006</v>
      </c>
      <c r="C12" s="3"/>
    </row>
    <row r="13" customFormat="false" ht="15" hidden="false" customHeight="false" outlineLevel="0" collapsed="false">
      <c r="A13" s="3" t="s">
        <v>623</v>
      </c>
      <c r="B13" s="69" t="n">
        <f aca="false">'Cash Flow and Working Capital'!$C$50</f>
        <v>2</v>
      </c>
      <c r="C13" s="3" t="s">
        <v>624</v>
      </c>
    </row>
    <row r="14" customFormat="false" ht="15" hidden="false" customHeight="false" outlineLevel="0" collapsed="false">
      <c r="A14" s="3" t="s">
        <v>625</v>
      </c>
      <c r="B14" s="71" t="n">
        <f aca="false">'Cash Flow and Working Capital'!$C$52</f>
        <v>0</v>
      </c>
      <c r="C14" s="3"/>
    </row>
    <row r="15" customFormat="false" ht="15" hidden="false" customHeight="false" outlineLevel="0" collapsed="false">
      <c r="A15" s="3" t="s">
        <v>626</v>
      </c>
      <c r="B15" s="71" t="n">
        <f aca="false">'Cash Flow and Working Capital'!$C$55</f>
        <v>10.2019696927165</v>
      </c>
      <c r="C15" s="3"/>
    </row>
    <row r="17" customFormat="false" ht="15" hidden="false" customHeight="false" outlineLevel="0" collapsed="false">
      <c r="A17" s="9" t="s">
        <v>627</v>
      </c>
      <c r="B17" s="14" t="s">
        <v>628</v>
      </c>
      <c r="C17" s="14" t="s">
        <v>629</v>
      </c>
      <c r="D17" s="14" t="s">
        <v>630</v>
      </c>
    </row>
    <row r="18" customFormat="false" ht="15" hidden="false" customHeight="false" outlineLevel="0" collapsed="false">
      <c r="A18" s="3" t="s">
        <v>631</v>
      </c>
      <c r="B18" s="38" t="n">
        <f aca="false">B5</f>
        <v>39000</v>
      </c>
      <c r="C18" s="3" t="s">
        <v>632</v>
      </c>
      <c r="D18" s="3" t="s">
        <v>633</v>
      </c>
    </row>
    <row r="19" customFormat="false" ht="15" hidden="false" customHeight="false" outlineLevel="0" collapsed="false">
      <c r="A19" s="3" t="s">
        <v>634</v>
      </c>
      <c r="B19" s="38" t="n">
        <f aca="false">B8</f>
        <v>38040.12</v>
      </c>
      <c r="C19" s="3" t="s">
        <v>449</v>
      </c>
      <c r="D19" s="3" t="s">
        <v>635</v>
      </c>
    </row>
    <row r="20" customFormat="false" ht="15" hidden="false" customHeight="false" outlineLevel="0" collapsed="false">
      <c r="A20" s="9" t="s">
        <v>636</v>
      </c>
      <c r="B20" s="63" t="n">
        <f aca="false">B12</f>
        <v>115583.026461006</v>
      </c>
      <c r="C20" s="3" t="str">
        <f aca="false">IF(ISNUMBER(B13),"In place by Month "&amp;B13,"Not needed")</f>
        <v>In place by Month 2</v>
      </c>
      <c r="D20" s="3" t="s">
        <v>637</v>
      </c>
    </row>
    <row r="21" customFormat="false" ht="15" hidden="false" customHeight="false" outlineLevel="0" collapsed="false">
      <c r="A21" s="3" t="s">
        <v>638</v>
      </c>
      <c r="B21" s="60" t="n">
        <f aca="false">'Cash Flow and Working Capital'!$AA$54</f>
        <v>186078.728075917</v>
      </c>
      <c r="C21" s="3" t="s">
        <v>257</v>
      </c>
      <c r="D21" s="3" t="s">
        <v>639</v>
      </c>
    </row>
    <row r="22" customFormat="false" ht="15" hidden="false" customHeight="false" outlineLevel="0" collapsed="false">
      <c r="A22" s="3" t="s">
        <v>640</v>
      </c>
      <c r="B22" s="60" t="n">
        <f aca="false">'Cash Flow and Working Capital'!$E$65</f>
        <v>1401268.48781717</v>
      </c>
      <c r="C22" s="3" t="s">
        <v>514</v>
      </c>
      <c r="D22" s="3" t="s">
        <v>641</v>
      </c>
    </row>
    <row r="24" customFormat="false" ht="15" hidden="false" customHeight="false" outlineLevel="0" collapsed="false">
      <c r="A24" s="5" t="s">
        <v>642</v>
      </c>
      <c r="B24" s="15"/>
      <c r="C24" s="15"/>
      <c r="D24" s="15"/>
      <c r="E24" s="15"/>
      <c r="F24" s="15"/>
      <c r="G24" s="15"/>
      <c r="H24" s="15"/>
    </row>
    <row r="25" customFormat="false" ht="15" hidden="false" customHeight="false" outlineLevel="0" collapsed="false">
      <c r="A25" s="14" t="s">
        <v>643</v>
      </c>
      <c r="B25" s="14" t="s">
        <v>644</v>
      </c>
      <c r="C25" s="14" t="s">
        <v>645</v>
      </c>
      <c r="D25" s="14" t="s">
        <v>646</v>
      </c>
      <c r="E25" s="14" t="s">
        <v>647</v>
      </c>
      <c r="F25" s="14" t="s">
        <v>648</v>
      </c>
      <c r="G25" s="14" t="s">
        <v>59</v>
      </c>
    </row>
    <row r="26" customFormat="false" ht="15" hidden="false" customHeight="false" outlineLevel="0" collapsed="false">
      <c r="A26" s="9" t="s">
        <v>649</v>
      </c>
    </row>
    <row r="27" customFormat="false" ht="15" hidden="false" customHeight="false" outlineLevel="0" collapsed="false">
      <c r="A27" s="3" t="s">
        <v>650</v>
      </c>
      <c r="B27" s="3" t="s">
        <v>651</v>
      </c>
      <c r="C27" s="7" t="str">
        <f aca="false">"at or above "&amp;TEXT(Assumptions!$F$114,"0%")</f>
        <v>at or above 8%</v>
      </c>
      <c r="D27" s="7" t="str">
        <f aca="false">"hero below "&amp;TEXT(Assumptions!$F$115,"0%")</f>
        <v>hero below 5%</v>
      </c>
      <c r="E27" s="3" t="str">
        <f aca="false">"observed"</f>
        <v>observed</v>
      </c>
      <c r="F27" s="3" t="str">
        <f aca="false">"observed"</f>
        <v>observed</v>
      </c>
      <c r="G27" s="3" t="s">
        <v>652</v>
      </c>
    </row>
    <row r="28" customFormat="false" ht="15" hidden="false" customHeight="false" outlineLevel="0" collapsed="false">
      <c r="A28" s="3" t="s">
        <v>653</v>
      </c>
      <c r="B28" s="54" t="n">
        <f aca="false">'Monthly PL Y1 Y2'!$F$24</f>
        <v>0.3</v>
      </c>
      <c r="C28" s="7" t="str">
        <f aca="false">"at or below "&amp;TEXT(Assumptions!$F$116,"0%")</f>
        <v>at or below 30%</v>
      </c>
      <c r="D28" s="7" t="str">
        <f aca="false">"above "&amp;TEXT(Assumptions!$F$117,"0%")</f>
        <v>above 40%</v>
      </c>
      <c r="E28" s="72" t="b">
        <f aca="false">B28&lt;=Assumptions!$F$116</f>
        <v>1</v>
      </c>
      <c r="F28" s="72" t="b">
        <f aca="false">B28&gt;Assumptions!$F$117</f>
        <v>0</v>
      </c>
      <c r="G28" s="3" t="s">
        <v>654</v>
      </c>
    </row>
    <row r="29" customFormat="false" ht="15" hidden="false" customHeight="false" outlineLevel="0" collapsed="false">
      <c r="A29" s="3" t="s">
        <v>655</v>
      </c>
      <c r="B29" s="54" t="n">
        <f aca="false">'Monthly PL Y1 Y2'!$F$32</f>
        <v>0.03</v>
      </c>
      <c r="C29" s="7" t="str">
        <f aca="false">"at or below "&amp;TEXT(Assumptions!$F$118,"0%")</f>
        <v>at or below 4%</v>
      </c>
      <c r="D29" s="7" t="str">
        <f aca="false">"above "&amp;TEXT(Assumptions!$F$119,"0%")</f>
        <v>above 7%</v>
      </c>
      <c r="E29" s="72" t="b">
        <f aca="false">B29&lt;=Assumptions!$F$118</f>
        <v>1</v>
      </c>
      <c r="F29" s="72" t="b">
        <f aca="false">B29&gt;Assumptions!$F$119</f>
        <v>0</v>
      </c>
      <c r="G29" s="3"/>
    </row>
    <row r="30" customFormat="false" ht="15" hidden="false" customHeight="false" outlineLevel="0" collapsed="false">
      <c r="A30" s="3" t="s">
        <v>656</v>
      </c>
      <c r="B30" s="35" t="n">
        <f aca="false">'Monthly PL Y1 Y2'!$F$25</f>
        <v>12.14</v>
      </c>
      <c r="C30" s="7" t="str">
        <f aca="false">"at or above "&amp;TEXT(Assumptions!$F$120,"$#,##0;($#,##0)")</f>
        <v>at or above $11</v>
      </c>
      <c r="D30" s="7" t="str">
        <f aca="false">"hero below "&amp;TEXT(Assumptions!$F$121,"$#,##0;($#,##0)")</f>
        <v>hero below $8</v>
      </c>
      <c r="E30" s="72" t="b">
        <f aca="false">B30&gt;=Assumptions!$F$120</f>
        <v>1</v>
      </c>
      <c r="F30" s="72" t="b">
        <f aca="false">B30&lt;Assumptions!$F$121</f>
        <v>0</v>
      </c>
      <c r="G30" s="3" t="s">
        <v>657</v>
      </c>
    </row>
    <row r="31" customFormat="false" ht="15" hidden="false" customHeight="false" outlineLevel="0" collapsed="false">
      <c r="A31" s="3" t="s">
        <v>658</v>
      </c>
      <c r="B31" s="73" t="n">
        <f aca="false">'Cash Flow and Working Capital'!$C$55</f>
        <v>10.2019696927165</v>
      </c>
      <c r="C31" s="7" t="str">
        <f aca="false">"at or above "&amp;TEXT(Assumptions!$F$122,"0")&amp;" months"</f>
        <v>at or above 4 months</v>
      </c>
      <c r="D31" s="7" t="str">
        <f aca="false">"below "&amp;TEXT(Assumptions!$F$123,"0")&amp;" months"</f>
        <v>below 2 months</v>
      </c>
      <c r="E31" s="72" t="b">
        <f aca="false">IF(ISNUMBER(B31),B31&gt;=Assumptions!$F$122,TRUE())</f>
        <v>1</v>
      </c>
      <c r="F31" s="72" t="b">
        <f aca="false">IF(ISNUMBER(B31),B31&lt;Assumptions!$F$123,FALSE())</f>
        <v>0</v>
      </c>
      <c r="G31" s="3" t="s">
        <v>659</v>
      </c>
    </row>
    <row r="32" customFormat="false" ht="15" hidden="false" customHeight="false" outlineLevel="0" collapsed="false">
      <c r="A32" s="3" t="s">
        <v>660</v>
      </c>
      <c r="B32" s="3" t="s">
        <v>651</v>
      </c>
      <c r="C32" s="3" t="s">
        <v>661</v>
      </c>
      <c r="D32" s="7" t="str">
        <f aca="false">"any open more than "&amp;TEXT(Assumptions!$F$124,"0")&amp;" days"</f>
        <v>any open more than 14 days</v>
      </c>
      <c r="E32" s="3" t="str">
        <f aca="false">"observed"</f>
        <v>observed</v>
      </c>
      <c r="F32" s="3" t="str">
        <f aca="false">"observed"</f>
        <v>observed</v>
      </c>
      <c r="G32" s="3" t="s">
        <v>662</v>
      </c>
    </row>
    <row r="33" customFormat="false" ht="15" hidden="false" customHeight="false" outlineLevel="0" collapsed="false">
      <c r="A33" s="9" t="s">
        <v>663</v>
      </c>
      <c r="B33" s="8" t="str">
        <f aca="false">IF(OR(F28,F29,F30,F31),"KILL",IF(AND(E28,E29,E30,E31),"PASS","REVIEW"))</f>
        <v>PASS</v>
      </c>
      <c r="G33" s="3" t="s">
        <v>664</v>
      </c>
    </row>
    <row r="35" customFormat="false" ht="15" hidden="false" customHeight="false" outlineLevel="0" collapsed="false">
      <c r="A35" s="9" t="s">
        <v>665</v>
      </c>
    </row>
    <row r="36" customFormat="false" ht="15" hidden="false" customHeight="false" outlineLevel="0" collapsed="false">
      <c r="A36" s="3" t="s">
        <v>666</v>
      </c>
      <c r="B36" s="60" t="n">
        <f aca="false">'Monthly PL Y1 Y2'!$O$9</f>
        <v>86100</v>
      </c>
      <c r="C36" s="7" t="str">
        <f aca="false">"at or above "&amp;TEXT(Assumptions!$F$125,"$#,##0;($#,##0)")</f>
        <v>at or above $70,000</v>
      </c>
      <c r="D36" s="7" t="str">
        <f aca="false">"below "&amp;TEXT(Assumptions!$F$126,"$#,##0;($#,##0)")</f>
        <v>below $50,000</v>
      </c>
      <c r="E36" s="72" t="b">
        <f aca="false">B36&gt;=Assumptions!$F$125</f>
        <v>1</v>
      </c>
      <c r="F36" s="72" t="b">
        <f aca="false">B36&lt;Assumptions!$F$126</f>
        <v>0</v>
      </c>
      <c r="G36" s="3" t="s">
        <v>667</v>
      </c>
    </row>
    <row r="37" customFormat="false" ht="15" hidden="false" customHeight="false" outlineLevel="0" collapsed="false">
      <c r="A37" s="3" t="s">
        <v>668</v>
      </c>
      <c r="B37" s="60" t="n">
        <f aca="false">'Monthly PL Y1 Y2'!$O$22</f>
        <v>38040.12</v>
      </c>
      <c r="C37" s="7" t="str">
        <f aca="false">"at or above "&amp;TEXT(Assumptions!$F$127,"$#,##0;($#,##0)")</f>
        <v>at or above $0</v>
      </c>
      <c r="D37" s="7" t="str">
        <f aca="false">"below "&amp;TEXT(Assumptions!$F$128,"$#,##0;($#,##0)")</f>
        <v>below ($25,000)</v>
      </c>
      <c r="E37" s="72" t="b">
        <f aca="false">B37&gt;=Assumptions!$F$127</f>
        <v>1</v>
      </c>
      <c r="F37" s="72" t="b">
        <f aca="false">B37&lt;Assumptions!$F$128</f>
        <v>0</v>
      </c>
      <c r="G37" s="3"/>
    </row>
    <row r="38" customFormat="false" ht="15" hidden="false" customHeight="false" outlineLevel="0" collapsed="false">
      <c r="A38" s="3" t="s">
        <v>669</v>
      </c>
      <c r="B38" s="54" t="n">
        <f aca="false">'Monthly PL Y1 Y2'!$O$24</f>
        <v>0.15</v>
      </c>
      <c r="C38" s="7" t="str">
        <f aca="false">"at or below "&amp;TEXT(Assumptions!$F$129,"0%")</f>
        <v>at or below 15%</v>
      </c>
      <c r="D38" s="7" t="str">
        <f aca="false">"above "&amp;TEXT(Assumptions!$F$130,"0%")</f>
        <v>above 25%</v>
      </c>
      <c r="E38" s="72" t="b">
        <f aca="false">B38&lt;=Assumptions!$F$129</f>
        <v>1</v>
      </c>
      <c r="F38" s="72" t="b">
        <f aca="false">B38&gt;Assumptions!$F$130</f>
        <v>0</v>
      </c>
      <c r="G38" s="3"/>
    </row>
    <row r="39" customFormat="false" ht="15" hidden="false" customHeight="false" outlineLevel="0" collapsed="false">
      <c r="A39" s="3" t="s">
        <v>670</v>
      </c>
      <c r="B39" s="54" t="n">
        <f aca="false">'Monthly PL Y1 Y2'!$O$32</f>
        <v>0.03</v>
      </c>
      <c r="C39" s="7" t="str">
        <f aca="false">"at or below "&amp;TEXT(Assumptions!$F$131,"0%")</f>
        <v>at or below 3%</v>
      </c>
      <c r="D39" s="7" t="str">
        <f aca="false">"above "&amp;TEXT(Assumptions!$F$132,"0%")</f>
        <v>above 5%</v>
      </c>
      <c r="E39" s="72" t="b">
        <f aca="false">B39&lt;=Assumptions!$F$131</f>
        <v>1</v>
      </c>
      <c r="F39" s="72" t="b">
        <f aca="false">B39&gt;Assumptions!$F$132</f>
        <v>0</v>
      </c>
      <c r="G39" s="3"/>
    </row>
    <row r="40" customFormat="false" ht="15" hidden="false" customHeight="false" outlineLevel="0" collapsed="false">
      <c r="A40" s="3" t="s">
        <v>671</v>
      </c>
      <c r="B40" s="60" t="n">
        <f aca="false">MIN('Cash Flow and Working Capital'!$N$40,'Cash Flow and Working Capital'!$O$40)</f>
        <v>7587.34333333333</v>
      </c>
      <c r="C40" s="3" t="s">
        <v>672</v>
      </c>
      <c r="D40" s="7" t="str">
        <f aca="false">"negative in Months 10, 11 and 12 with a funding gap above "&amp;TEXT(Assumptions!$F$133,"$#,##0;($#,##0)")</f>
        <v>negative in Months 10, 11 and 12 with a funding gap above $50,000</v>
      </c>
      <c r="E40" s="74" t="b">
        <f aca="false">B40&gt;0</f>
        <v>1</v>
      </c>
      <c r="F40" s="72" t="b">
        <f aca="false">AND('Cash Flow and Working Capital'!$M$40&lt;0,'Cash Flow and Working Capital'!$N$40&lt;0,'Cash Flow and Working Capital'!$O$40&lt;0,'Cash Flow and Working Capital'!$C$49&gt;Assumptions!$F$133)</f>
        <v>0</v>
      </c>
      <c r="G40" s="3" t="s">
        <v>673</v>
      </c>
    </row>
    <row r="41" customFormat="false" ht="15" hidden="false" customHeight="false" outlineLevel="0" collapsed="false">
      <c r="A41" s="9" t="s">
        <v>674</v>
      </c>
      <c r="B41" s="8" t="str">
        <f aca="false">IF(OR(F36,F37,F38,F39,F40),"KILL",IF(AND(E36,E37,E38,E39,E40),"PASS","REVIEW"))</f>
        <v>PASS</v>
      </c>
      <c r="G41" s="3" t="s">
        <v>675</v>
      </c>
    </row>
    <row r="44" customFormat="false" ht="15" hidden="false" customHeight="false" outlineLevel="0" collapsed="false">
      <c r="A44" s="5" t="s">
        <v>676</v>
      </c>
      <c r="B44" s="15"/>
      <c r="C44" s="15"/>
      <c r="D44" s="15"/>
      <c r="E44" s="15"/>
      <c r="F44" s="15"/>
      <c r="G44" s="15"/>
    </row>
    <row r="45" customFormat="false" ht="15" hidden="false" customHeight="false" outlineLevel="0" collapsed="false">
      <c r="A45" s="14" t="s">
        <v>444</v>
      </c>
      <c r="B45" s="14" t="s">
        <v>446</v>
      </c>
      <c r="C45" s="14" t="s">
        <v>447</v>
      </c>
      <c r="D45" s="14" t="s">
        <v>512</v>
      </c>
    </row>
    <row r="46" customFormat="false" ht="15" hidden="false" customHeight="false" outlineLevel="0" collapsed="false">
      <c r="A46" s="3" t="s">
        <v>677</v>
      </c>
      <c r="B46" s="38" t="n">
        <f aca="false">planb_Y1_revenue</f>
        <v>188251.748251748</v>
      </c>
      <c r="C46" s="38" t="n">
        <f aca="false">planb_Y2_revenue</f>
        <v>368251.748251748</v>
      </c>
      <c r="D46" s="38" t="n">
        <f aca="false">planb_Y3_revenue</f>
        <v>518251.748251748</v>
      </c>
    </row>
    <row r="47" customFormat="false" ht="15" hidden="false" customHeight="false" outlineLevel="0" collapsed="false">
      <c r="A47" s="3" t="s">
        <v>678</v>
      </c>
      <c r="B47" s="38" t="n">
        <f aca="false">planb_Y1_net</f>
        <v>16752.3809523809</v>
      </c>
      <c r="C47" s="38" t="n">
        <f aca="false">planb_Y2_net</f>
        <v>31520.9523809524</v>
      </c>
      <c r="D47" s="38" t="n">
        <f aca="false">planb_Y3_net</f>
        <v>50126.4285714285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22"/>
    <col collapsed="false" customWidth="true" hidden="false" outlineLevel="0" max="3" min="3" style="1" width="16"/>
    <col collapsed="false" customWidth="true" hidden="false" outlineLevel="0" max="4" min="4" style="1" width="18"/>
    <col collapsed="false" customWidth="true" hidden="false" outlineLevel="0" max="6" min="5" style="1" width="16"/>
    <col collapsed="false" customWidth="true" hidden="false" outlineLevel="0" max="8" min="7" style="1" width="18"/>
    <col collapsed="false" customWidth="true" hidden="false" outlineLevel="0" max="9" min="9" style="1" width="16"/>
  </cols>
  <sheetData>
    <row r="1" customFormat="false" ht="17.35" hidden="false" customHeight="false" outlineLevel="0" collapsed="false">
      <c r="A1" s="11" t="s">
        <v>679</v>
      </c>
    </row>
    <row r="2" customFormat="false" ht="15" hidden="false" customHeight="false" outlineLevel="0" collapsed="false">
      <c r="A2" s="3" t="str">
        <f aca="false">"Base: "&amp;ScenarioName&amp;" scenario, "&amp;DutyScenarioName&amp;" duty, FX "&amp;TEXT(FXRate,"#,##0")&amp;". Every cell is a live formula: a compact one line P&amp;L that applies the delta to the base from the Monthly and Annual tabs. No pasted values. The rows are approximations of the full model: use them for the tornado and quote duty and FX effects from the Scenario Summary or a full recalc (figures.json)."</f>
        <v>Base: Medium scenario, Copper duty, FX 1,430. Every cell is a live formula: a compact one line P&amp;L that applies the delta to the base from the Monthly and Annual tabs. No pasted values. The rows are approximations of the full model: use them for the tornado and quote duty and FX effects from the Scenario Summary or a full recalc (figures.json).</v>
      </c>
    </row>
    <row r="4" customFormat="false" ht="15" hidden="false" customHeight="false" outlineLevel="0" collapsed="false">
      <c r="A4" s="5" t="s">
        <v>680</v>
      </c>
    </row>
    <row r="5" customFormat="false" ht="15" hidden="false" customHeight="false" outlineLevel="0" collapsed="false">
      <c r="A5" s="3" t="s">
        <v>681</v>
      </c>
      <c r="B5" s="60" t="n">
        <f aca="false">'Monthly PL Y1 Y2'!$C$60</f>
        <v>1166340</v>
      </c>
    </row>
    <row r="6" customFormat="false" ht="15" hidden="false" customHeight="false" outlineLevel="0" collapsed="false">
      <c r="A6" s="3" t="s">
        <v>682</v>
      </c>
      <c r="B6" s="60" t="n">
        <f aca="false">'Monthly PL Y1 Y2'!$C$61</f>
        <v>153020.18</v>
      </c>
    </row>
    <row r="7" customFormat="false" ht="15" hidden="false" customHeight="false" outlineLevel="0" collapsed="false">
      <c r="A7" s="3" t="s">
        <v>683</v>
      </c>
      <c r="B7" s="60" t="n">
        <f aca="false">SUM('Monthly PL Y1 Y2'!$D$10:$U$10)+SUM('Monthly PL Y1 Y2'!$D$11:$U$11)+SUM('Monthly PL Y1 Y2'!$D$13:$U$13)+SUM('Monthly PL Y1 Y2'!$D$14:$U$14)+SUM('Monthly PL Y1 Y2'!$D$15:$U$15)</f>
        <v>835065</v>
      </c>
    </row>
    <row r="8" customFormat="false" ht="15" hidden="false" customHeight="false" outlineLevel="0" collapsed="false">
      <c r="A8" s="3" t="s">
        <v>684</v>
      </c>
      <c r="B8" s="60" t="n">
        <f aca="false">SUM('Monthly PL Y1 Y2'!$D$10:$U$10)</f>
        <v>443209.2</v>
      </c>
    </row>
    <row r="9" customFormat="false" ht="15" hidden="false" customHeight="false" outlineLevel="0" collapsed="false">
      <c r="A9" s="3" t="s">
        <v>685</v>
      </c>
      <c r="B9" s="34" t="n">
        <f aca="false">LandedPctActive</f>
        <v>0.38</v>
      </c>
    </row>
    <row r="10" customFormat="false" ht="15" hidden="false" customHeight="false" outlineLevel="0" collapsed="false">
      <c r="A10" s="3" t="s">
        <v>686</v>
      </c>
      <c r="B10" s="54" t="n">
        <f aca="false">Assumptions!$F$12</f>
        <v>0.03</v>
      </c>
    </row>
    <row r="11" customFormat="false" ht="15" hidden="false" customHeight="false" outlineLevel="0" collapsed="false">
      <c r="A11" s="3" t="s">
        <v>687</v>
      </c>
      <c r="B11" s="60" t="n">
        <f aca="false">'Annual PL Y1 to Y5'!$G$69</f>
        <v>4576228.42445143</v>
      </c>
    </row>
    <row r="12" customFormat="false" ht="15" hidden="false" customHeight="false" outlineLevel="0" collapsed="false">
      <c r="A12" s="3" t="s">
        <v>688</v>
      </c>
      <c r="B12" s="60" t="n">
        <f aca="false">'Annual PL Y1 to Y5'!$G$80</f>
        <v>612714.567622496</v>
      </c>
    </row>
    <row r="13" customFormat="false" ht="15" hidden="false" customHeight="false" outlineLevel="0" collapsed="false">
      <c r="A13" s="3" t="s">
        <v>689</v>
      </c>
      <c r="B13" s="60" t="n">
        <f aca="false">'Annual PL Y1 to Y5'!$G$70+'Annual PL Y1 to Y5'!$G$71+'Annual PL Y1 to Y5'!$G$73+'Annual PL Y1 to Y5'!$G$74</f>
        <v>3071209.05440029</v>
      </c>
    </row>
    <row r="14" customFormat="false" ht="15" hidden="false" customHeight="false" outlineLevel="0" collapsed="false">
      <c r="A14" s="3" t="s">
        <v>690</v>
      </c>
      <c r="B14" s="60" t="n">
        <f aca="false">'Annual PL Y1 to Y5'!$G$70</f>
        <v>1945487.83308233</v>
      </c>
    </row>
    <row r="15" customFormat="false" ht="15" hidden="false" customHeight="false" outlineLevel="0" collapsed="false">
      <c r="A15" s="3" t="s">
        <v>691</v>
      </c>
      <c r="B15" s="54" t="n">
        <f aca="false">'Annual PL Y1 to Y5'!$G$8</f>
        <v>0.375</v>
      </c>
    </row>
    <row r="16" customFormat="false" ht="15" hidden="false" customHeight="false" outlineLevel="0" collapsed="false">
      <c r="A16" s="3" t="s">
        <v>692</v>
      </c>
      <c r="B16" s="54" t="n">
        <f aca="false">Assumptions!$F$31</f>
        <v>0.025</v>
      </c>
    </row>
    <row r="17" customFormat="false" ht="15" hidden="false" customHeight="false" outlineLevel="0" collapsed="false">
      <c r="A17" s="3" t="s">
        <v>693</v>
      </c>
      <c r="B17" s="58" t="n">
        <f aca="false">HeroFobShare</f>
        <v>0.164020909075366</v>
      </c>
    </row>
    <row r="18" customFormat="false" ht="15" hidden="false" customHeight="false" outlineLevel="0" collapsed="false">
      <c r="A18" s="3" t="s">
        <v>694</v>
      </c>
      <c r="B18" s="34" t="n">
        <f aca="false">DutyRateActive</f>
        <v>0.401</v>
      </c>
    </row>
    <row r="19" customFormat="false" ht="15" hidden="false" customHeight="false" outlineLevel="0" collapsed="false">
      <c r="A19" s="3" t="s">
        <v>695</v>
      </c>
      <c r="B19" s="58" t="n">
        <f aca="false">LandedFxDelta</f>
        <v>0</v>
      </c>
    </row>
    <row r="20" customFormat="false" ht="15" hidden="false" customHeight="false" outlineLevel="0" collapsed="false">
      <c r="A20" s="3" t="s">
        <v>696</v>
      </c>
      <c r="B20" s="75" t="n">
        <f aca="false">Assumptions!$F$111</f>
        <v>1430</v>
      </c>
    </row>
    <row r="21" customFormat="false" ht="15" hidden="false" customHeight="false" outlineLevel="0" collapsed="false">
      <c r="A21" s="3" t="s">
        <v>697</v>
      </c>
      <c r="B21" s="54" t="n">
        <f aca="false">('SKU Unit Economics'!$B$29+'SKU Unit Economics'!$B$30)/2/HeroFobUsd-1</f>
        <v>1.64252681854365</v>
      </c>
    </row>
    <row r="23" customFormat="false" ht="15" hidden="false" customHeight="false" outlineLevel="0" collapsed="false">
      <c r="A23" s="5" t="s">
        <v>698</v>
      </c>
    </row>
    <row r="24" customFormat="false" ht="30" hidden="false" customHeight="true" outlineLevel="0" collapsed="false">
      <c r="A24" s="39" t="s">
        <v>52</v>
      </c>
      <c r="B24" s="39" t="s">
        <v>699</v>
      </c>
      <c r="C24" s="39" t="s">
        <v>700</v>
      </c>
      <c r="D24" s="39" t="s">
        <v>701</v>
      </c>
      <c r="E24" s="39" t="s">
        <v>501</v>
      </c>
      <c r="F24" s="39" t="s">
        <v>688</v>
      </c>
      <c r="G24" s="39" t="s">
        <v>702</v>
      </c>
      <c r="H24" s="39" t="s">
        <v>703</v>
      </c>
    </row>
    <row r="25" customFormat="false" ht="15" hidden="false" customHeight="false" outlineLevel="0" collapsed="false">
      <c r="A25" s="3" t="s">
        <v>423</v>
      </c>
      <c r="B25" s="3" t="s">
        <v>704</v>
      </c>
      <c r="C25" s="34" t="n">
        <f aca="false">duty_fiber_rate</f>
        <v>0.125</v>
      </c>
      <c r="D25" s="58" t="n">
        <f aca="false">(C25-$B$18)*$B$17</f>
        <v>-0.0452697709048009</v>
      </c>
      <c r="E25" s="38" t="n">
        <f aca="false">$B$6-(D25)*$B$5</f>
        <v>205820.124597106</v>
      </c>
      <c r="F25" s="38" t="n">
        <f aca="false">$B$12-$B$14*(D25)/$B$15</f>
        <v>847572.670293735</v>
      </c>
      <c r="G25" s="38" t="n">
        <f aca="false">E25-$B$6</f>
        <v>52799.9445971055</v>
      </c>
      <c r="H25" s="38" t="n">
        <f aca="false">F25-$B$12</f>
        <v>234858.102671239</v>
      </c>
    </row>
    <row r="26" customFormat="false" ht="15" hidden="false" customHeight="false" outlineLevel="0" collapsed="false">
      <c r="A26" s="3" t="s">
        <v>423</v>
      </c>
      <c r="B26" s="3" t="s">
        <v>705</v>
      </c>
      <c r="C26" s="34" t="n">
        <f aca="false">duty_copper_rate</f>
        <v>0.401</v>
      </c>
      <c r="D26" s="58" t="n">
        <f aca="false">(C26-$B$18)*$B$17</f>
        <v>0</v>
      </c>
      <c r="E26" s="38" t="n">
        <f aca="false">$B$6-(D26)*$B$5</f>
        <v>153020.18</v>
      </c>
      <c r="F26" s="38" t="n">
        <f aca="false">$B$12-$B$14*(D26)/$B$15</f>
        <v>612714.567622496</v>
      </c>
      <c r="G26" s="38" t="n">
        <f aca="false">E26-$B$6</f>
        <v>0</v>
      </c>
      <c r="H26" s="38" t="n">
        <f aca="false">F26-$B$12</f>
        <v>0</v>
      </c>
    </row>
    <row r="27" customFormat="false" ht="15" hidden="false" customHeight="false" outlineLevel="0" collapsed="false">
      <c r="A27" s="3" t="s">
        <v>423</v>
      </c>
      <c r="B27" s="3" t="s">
        <v>706</v>
      </c>
      <c r="C27" s="34" t="n">
        <f aca="false">duty_stress_rate</f>
        <v>0.501</v>
      </c>
      <c r="D27" s="58" t="n">
        <f aca="false">(C27-$B$18)*$B$17</f>
        <v>0.0164020909075366</v>
      </c>
      <c r="E27" s="38" t="n">
        <f aca="false">$B$6-(D27)*$B$5</f>
        <v>133889.765290904</v>
      </c>
      <c r="F27" s="38" t="n">
        <f aca="false">$B$12-$B$14*(D27)/$B$15</f>
        <v>527621.052161902</v>
      </c>
      <c r="G27" s="38" t="n">
        <f aca="false">E27-$B$6</f>
        <v>-19130.4147090962</v>
      </c>
      <c r="H27" s="38" t="n">
        <f aca="false">F27-$B$12</f>
        <v>-85093.5154605937</v>
      </c>
    </row>
    <row r="28" customFormat="false" ht="15" hidden="false" customHeight="false" outlineLevel="0" collapsed="false">
      <c r="A28" s="3" t="s">
        <v>453</v>
      </c>
      <c r="B28" s="3" t="s">
        <v>707</v>
      </c>
      <c r="C28" s="18" t="n">
        <v>-0.1</v>
      </c>
      <c r="D28" s="58" t="n">
        <f aca="false">0</f>
        <v>0</v>
      </c>
      <c r="E28" s="38" t="n">
        <f aca="false">$B$6+C28*($B$5-$B$7)</f>
        <v>119892.68</v>
      </c>
      <c r="F28" s="38" t="n">
        <f aca="false">$B$12+C28*($B$11-$B$13)</f>
        <v>462212.630617382</v>
      </c>
      <c r="G28" s="38" t="n">
        <f aca="false">E28-$B$6</f>
        <v>-33127.5</v>
      </c>
      <c r="H28" s="38" t="n">
        <f aca="false">F28-$B$12</f>
        <v>-150501.937005113</v>
      </c>
    </row>
    <row r="29" customFormat="false" ht="15" hidden="false" customHeight="false" outlineLevel="0" collapsed="false">
      <c r="A29" s="3" t="s">
        <v>453</v>
      </c>
      <c r="B29" s="3" t="s">
        <v>708</v>
      </c>
      <c r="C29" s="18" t="n">
        <v>0</v>
      </c>
      <c r="D29" s="58" t="n">
        <f aca="false">0</f>
        <v>0</v>
      </c>
      <c r="E29" s="38" t="n">
        <f aca="false">$B$6+C29*($B$5-$B$7)</f>
        <v>153020.18</v>
      </c>
      <c r="F29" s="38" t="n">
        <f aca="false">$B$12+C29*($B$11-$B$13)</f>
        <v>612714.567622496</v>
      </c>
      <c r="G29" s="38" t="n">
        <f aca="false">E29-$B$6</f>
        <v>0</v>
      </c>
      <c r="H29" s="38" t="n">
        <f aca="false">F29-$B$12</f>
        <v>0</v>
      </c>
    </row>
    <row r="30" customFormat="false" ht="15" hidden="false" customHeight="false" outlineLevel="0" collapsed="false">
      <c r="A30" s="3" t="s">
        <v>453</v>
      </c>
      <c r="B30" s="3" t="s">
        <v>709</v>
      </c>
      <c r="C30" s="18" t="n">
        <v>0.1</v>
      </c>
      <c r="D30" s="58" t="n">
        <f aca="false">0</f>
        <v>0</v>
      </c>
      <c r="E30" s="38" t="n">
        <f aca="false">$B$6+C30*($B$5-$B$7)</f>
        <v>186147.68</v>
      </c>
      <c r="F30" s="38" t="n">
        <f aca="false">$B$12+C30*($B$11-$B$13)</f>
        <v>763216.504627609</v>
      </c>
      <c r="G30" s="38" t="n">
        <f aca="false">E30-$B$6</f>
        <v>33127.5</v>
      </c>
      <c r="H30" s="38" t="n">
        <f aca="false">F30-$B$12</f>
        <v>150501.937005113</v>
      </c>
    </row>
    <row r="31" customFormat="false" ht="15" hidden="false" customHeight="false" outlineLevel="0" collapsed="false">
      <c r="A31" s="3" t="s">
        <v>710</v>
      </c>
      <c r="B31" s="3" t="s">
        <v>711</v>
      </c>
      <c r="C31" s="18" t="n">
        <v>-0.03</v>
      </c>
      <c r="D31" s="58" t="n">
        <f aca="false">0</f>
        <v>0</v>
      </c>
      <c r="E31" s="38" t="n">
        <f aca="false">$B$6-C31*$B$5</f>
        <v>188010.38</v>
      </c>
      <c r="F31" s="38" t="n">
        <f aca="false">$B$12-C31*$B$11</f>
        <v>750001.420356039</v>
      </c>
      <c r="G31" s="38" t="n">
        <f aca="false">E31-$B$6</f>
        <v>34990.2</v>
      </c>
      <c r="H31" s="38" t="n">
        <f aca="false">F31-$B$12</f>
        <v>137286.852733543</v>
      </c>
    </row>
    <row r="32" customFormat="false" ht="15" hidden="false" customHeight="false" outlineLevel="0" collapsed="false">
      <c r="A32" s="3" t="s">
        <v>710</v>
      </c>
      <c r="B32" s="3" t="s">
        <v>708</v>
      </c>
      <c r="C32" s="18" t="n">
        <v>0</v>
      </c>
      <c r="D32" s="58" t="n">
        <f aca="false">0</f>
        <v>0</v>
      </c>
      <c r="E32" s="38" t="n">
        <f aca="false">$B$6-C32*$B$5</f>
        <v>153020.18</v>
      </c>
      <c r="F32" s="38" t="n">
        <f aca="false">$B$12-C32*$B$11</f>
        <v>612714.567622496</v>
      </c>
      <c r="G32" s="38" t="n">
        <f aca="false">E32-$B$6</f>
        <v>0</v>
      </c>
      <c r="H32" s="38" t="n">
        <f aca="false">F32-$B$12</f>
        <v>0</v>
      </c>
    </row>
    <row r="33" customFormat="false" ht="15" hidden="false" customHeight="false" outlineLevel="0" collapsed="false">
      <c r="A33" s="3" t="s">
        <v>710</v>
      </c>
      <c r="B33" s="3" t="s">
        <v>712</v>
      </c>
      <c r="C33" s="18" t="n">
        <v>0.03</v>
      </c>
      <c r="D33" s="58" t="n">
        <f aca="false">0</f>
        <v>0</v>
      </c>
      <c r="E33" s="38" t="n">
        <f aca="false">$B$6-C33*$B$5</f>
        <v>118029.98</v>
      </c>
      <c r="F33" s="38" t="n">
        <f aca="false">$B$12-C33*$B$11</f>
        <v>475427.714888953</v>
      </c>
      <c r="G33" s="38" t="n">
        <f aca="false">E33-$B$6</f>
        <v>-34990.2</v>
      </c>
      <c r="H33" s="38" t="n">
        <f aca="false">F33-$B$12</f>
        <v>-137286.852733543</v>
      </c>
    </row>
    <row r="34" customFormat="false" ht="15" hidden="false" customHeight="false" outlineLevel="0" collapsed="false">
      <c r="A34" s="3" t="s">
        <v>713</v>
      </c>
      <c r="B34" s="3" t="s">
        <v>714</v>
      </c>
      <c r="C34" s="18" t="n">
        <v>0.02</v>
      </c>
      <c r="D34" s="58" t="n">
        <f aca="false">0</f>
        <v>0</v>
      </c>
      <c r="E34" s="38" t="n">
        <f aca="false">$B$6-(C34-$B$10)*$B$5</f>
        <v>164683.58</v>
      </c>
      <c r="F34" s="38" t="n">
        <f aca="false">$B$12-(C34-$B$16)*$B$11</f>
        <v>635595.709744753</v>
      </c>
      <c r="G34" s="38" t="n">
        <f aca="false">E34-$B$6</f>
        <v>11663.4</v>
      </c>
      <c r="H34" s="38" t="n">
        <f aca="false">F34-$B$12</f>
        <v>22881.1421222572</v>
      </c>
    </row>
    <row r="35" customFormat="false" ht="15" hidden="false" customHeight="false" outlineLevel="0" collapsed="false">
      <c r="A35" s="3" t="s">
        <v>713</v>
      </c>
      <c r="B35" s="3" t="s">
        <v>715</v>
      </c>
      <c r="C35" s="18" t="n">
        <v>0.03</v>
      </c>
      <c r="D35" s="58" t="n">
        <f aca="false">0</f>
        <v>0</v>
      </c>
      <c r="E35" s="38" t="n">
        <f aca="false">$B$6-(C35-$B$10)*$B$5</f>
        <v>153020.18</v>
      </c>
      <c r="F35" s="38" t="n">
        <f aca="false">$B$12-(C35-$B$16)*$B$11</f>
        <v>589833.425500239</v>
      </c>
      <c r="G35" s="38" t="n">
        <f aca="false">E35-$B$6</f>
        <v>0</v>
      </c>
      <c r="H35" s="38" t="n">
        <f aca="false">F35-$B$12</f>
        <v>-22881.1421222572</v>
      </c>
    </row>
    <row r="36" customFormat="false" ht="15" hidden="false" customHeight="false" outlineLevel="0" collapsed="false">
      <c r="A36" s="3" t="s">
        <v>713</v>
      </c>
      <c r="B36" s="3" t="s">
        <v>716</v>
      </c>
      <c r="C36" s="18" t="n">
        <v>0.05</v>
      </c>
      <c r="D36" s="58" t="n">
        <f aca="false">0</f>
        <v>0</v>
      </c>
      <c r="E36" s="38" t="n">
        <f aca="false">$B$6-(C36-$B$10)*$B$5</f>
        <v>129693.38</v>
      </c>
      <c r="F36" s="38" t="n">
        <f aca="false">$B$12-(C36-$B$16)*$B$11</f>
        <v>498308.85701121</v>
      </c>
      <c r="G36" s="38" t="n">
        <f aca="false">E36-$B$6</f>
        <v>-23326.8</v>
      </c>
      <c r="H36" s="38" t="n">
        <f aca="false">F36-$B$12</f>
        <v>-114405.710611286</v>
      </c>
    </row>
    <row r="37" customFormat="false" ht="15" hidden="false" customHeight="false" outlineLevel="0" collapsed="false">
      <c r="A37" s="3" t="s">
        <v>717</v>
      </c>
      <c r="B37" s="3" t="s">
        <v>718</v>
      </c>
      <c r="C37" s="13" t="n">
        <v>1300</v>
      </c>
      <c r="D37" s="58" t="n">
        <f aca="false">$B$17*($B$20/C37-1)-$B$19</f>
        <v>0.0164020909075366</v>
      </c>
      <c r="E37" s="38" t="n">
        <f aca="false">$B$6-(D37)*$B$5</f>
        <v>133889.765290904</v>
      </c>
      <c r="F37" s="38" t="n">
        <f aca="false">$B$12-$B$14*(D37)/$B$15</f>
        <v>527621.052161902</v>
      </c>
      <c r="G37" s="38" t="n">
        <f aca="false">E37-$B$6</f>
        <v>-19130.4147090962</v>
      </c>
      <c r="H37" s="38" t="n">
        <f aca="false">F37-$B$12</f>
        <v>-85093.5154605939</v>
      </c>
    </row>
    <row r="38" customFormat="false" ht="15" hidden="false" customHeight="false" outlineLevel="0" collapsed="false">
      <c r="A38" s="3" t="s">
        <v>717</v>
      </c>
      <c r="B38" s="3" t="s">
        <v>719</v>
      </c>
      <c r="C38" s="13" t="n">
        <v>1430</v>
      </c>
      <c r="D38" s="58" t="n">
        <f aca="false">$B$17*($B$20/C38-1)-$B$19</f>
        <v>0</v>
      </c>
      <c r="E38" s="38" t="n">
        <f aca="false">$B$6-(D38)*$B$5</f>
        <v>153020.18</v>
      </c>
      <c r="F38" s="38" t="n">
        <f aca="false">$B$12-$B$14*(D38)/$B$15</f>
        <v>612714.567622496</v>
      </c>
      <c r="G38" s="38" t="n">
        <f aca="false">E38-$B$6</f>
        <v>0</v>
      </c>
      <c r="H38" s="38" t="n">
        <f aca="false">F38-$B$12</f>
        <v>0</v>
      </c>
    </row>
    <row r="39" customFormat="false" ht="15" hidden="false" customHeight="false" outlineLevel="0" collapsed="false">
      <c r="A39" s="3" t="s">
        <v>717</v>
      </c>
      <c r="B39" s="3" t="s">
        <v>720</v>
      </c>
      <c r="C39" s="13" t="n">
        <v>1550</v>
      </c>
      <c r="D39" s="58" t="n">
        <f aca="false">$B$17*($B$20/C39-1)-$B$19</f>
        <v>-0.0126983929606735</v>
      </c>
      <c r="E39" s="38" t="n">
        <f aca="false">$B$6-(D39)*$B$5</f>
        <v>167830.823645752</v>
      </c>
      <c r="F39" s="38" t="n">
        <f aca="false">$B$12-$B$14*(D39)/$B$15</f>
        <v>678593.418301665</v>
      </c>
      <c r="G39" s="38" t="n">
        <f aca="false">E39-$B$6</f>
        <v>14810.6436457519</v>
      </c>
      <c r="H39" s="38" t="n">
        <f aca="false">F39-$B$12</f>
        <v>65878.8506791693</v>
      </c>
    </row>
    <row r="40" customFormat="false" ht="15" hidden="false" customHeight="false" outlineLevel="0" collapsed="false">
      <c r="A40" s="3" t="s">
        <v>721</v>
      </c>
      <c r="B40" s="3" t="s">
        <v>707</v>
      </c>
      <c r="C40" s="18" t="n">
        <v>-0.1</v>
      </c>
      <c r="D40" s="58" t="n">
        <f aca="false">$B$17*C40*(1+$B$18)</f>
        <v>-0.0229793293614587</v>
      </c>
      <c r="E40" s="38" t="n">
        <f aca="false">$B$6-(D40)*$B$5</f>
        <v>179821.891007444</v>
      </c>
      <c r="F40" s="38" t="n">
        <f aca="false">$B$12-$B$14*(D40)/$B$15</f>
        <v>731930.582782788</v>
      </c>
      <c r="G40" s="38" t="n">
        <f aca="false">E40-$B$6</f>
        <v>26801.7110074438</v>
      </c>
      <c r="H40" s="38" t="n">
        <f aca="false">F40-$B$12</f>
        <v>119216.015160292</v>
      </c>
    </row>
    <row r="41" customFormat="false" ht="15" hidden="false" customHeight="false" outlineLevel="0" collapsed="false">
      <c r="A41" s="3" t="s">
        <v>721</v>
      </c>
      <c r="B41" s="3" t="s">
        <v>708</v>
      </c>
      <c r="C41" s="18" t="n">
        <v>0</v>
      </c>
      <c r="D41" s="58" t="n">
        <f aca="false">$B$17*C41*(1+$B$18)</f>
        <v>0</v>
      </c>
      <c r="E41" s="38" t="n">
        <f aca="false">$B$6-(D41)*$B$5</f>
        <v>153020.18</v>
      </c>
      <c r="F41" s="38" t="n">
        <f aca="false">$B$12-$B$14*(D41)/$B$15</f>
        <v>612714.567622496</v>
      </c>
      <c r="G41" s="38" t="n">
        <f aca="false">E41-$B$6</f>
        <v>0</v>
      </c>
      <c r="H41" s="38" t="n">
        <f aca="false">F41-$B$12</f>
        <v>0</v>
      </c>
    </row>
    <row r="42" customFormat="false" ht="15" hidden="false" customHeight="false" outlineLevel="0" collapsed="false">
      <c r="A42" s="3" t="s">
        <v>721</v>
      </c>
      <c r="B42" s="3" t="s">
        <v>722</v>
      </c>
      <c r="C42" s="18" t="n">
        <v>0.25</v>
      </c>
      <c r="D42" s="58" t="n">
        <f aca="false">$B$17*C42*(1+$B$18)</f>
        <v>0.0574483234036468</v>
      </c>
      <c r="E42" s="38" t="n">
        <f aca="false">$B$6-(D42)*$B$5</f>
        <v>86015.9024813906</v>
      </c>
      <c r="F42" s="38" t="n">
        <f aca="false">$B$12-$B$14*(D42)/$B$15</f>
        <v>314674.529721766</v>
      </c>
      <c r="G42" s="38" t="n">
        <f aca="false">E42-$B$6</f>
        <v>-67004.2775186094</v>
      </c>
      <c r="H42" s="38" t="n">
        <f aca="false">F42-$B$12</f>
        <v>-298040.03790073</v>
      </c>
    </row>
    <row r="43" customFormat="false" ht="15" hidden="false" customHeight="false" outlineLevel="0" collapsed="false">
      <c r="A43" s="3" t="s">
        <v>721</v>
      </c>
      <c r="B43" s="3" t="s">
        <v>723</v>
      </c>
      <c r="C43" s="34" t="n">
        <f aca="false">$B$21</f>
        <v>1.64252681854365</v>
      </c>
      <c r="D43" s="58" t="n">
        <f aca="false">$B$17*C43*(1+$B$18)</f>
        <v>0.377441647483435</v>
      </c>
      <c r="E43" s="38" t="n">
        <f aca="false">$B$6-(D43)*$B$5</f>
        <v>-287205.111125829</v>
      </c>
      <c r="F43" s="38" t="n">
        <f aca="false">$B$12-$B$14*(D43)/$B$15</f>
        <v>-1345440.45338436</v>
      </c>
      <c r="G43" s="38" t="n">
        <f aca="false">E43-$B$6</f>
        <v>-440225.291125829</v>
      </c>
      <c r="H43" s="38" t="n">
        <f aca="false">F43-$B$12</f>
        <v>-1958155.02100686</v>
      </c>
    </row>
    <row r="44" customFormat="false" ht="15" hidden="false" customHeight="false" outlineLevel="0" collapsed="false">
      <c r="A44" s="4" t="s">
        <v>724</v>
      </c>
    </row>
    <row r="46" customFormat="false" ht="15" hidden="false" customHeight="false" outlineLevel="0" collapsed="false">
      <c r="A46" s="5" t="s">
        <v>725</v>
      </c>
    </row>
    <row r="47" customFormat="false" ht="15" hidden="false" customHeight="false" outlineLevel="0" collapsed="false">
      <c r="A47" s="14" t="s">
        <v>52</v>
      </c>
      <c r="B47" s="14" t="s">
        <v>726</v>
      </c>
      <c r="C47" s="14" t="s">
        <v>727</v>
      </c>
      <c r="D47" s="14" t="s">
        <v>728</v>
      </c>
      <c r="E47" s="14" t="s">
        <v>729</v>
      </c>
      <c r="F47" s="14" t="s">
        <v>730</v>
      </c>
      <c r="G47" s="14" t="s">
        <v>731</v>
      </c>
      <c r="H47" s="14" t="s">
        <v>732</v>
      </c>
      <c r="I47" s="14" t="s">
        <v>733</v>
      </c>
    </row>
    <row r="48" customFormat="false" ht="15" hidden="false" customHeight="false" outlineLevel="0" collapsed="false">
      <c r="A48" s="3" t="s">
        <v>721</v>
      </c>
      <c r="B48" s="3" t="s">
        <v>723</v>
      </c>
      <c r="C48" s="38" t="n">
        <f aca="false">F43</f>
        <v>-1345440.45338436</v>
      </c>
      <c r="D48" s="3" t="s">
        <v>707</v>
      </c>
      <c r="E48" s="38" t="n">
        <f aca="false">F40</f>
        <v>731930.582782788</v>
      </c>
      <c r="F48" s="38" t="n">
        <f aca="false">$B$12</f>
        <v>612714.567622496</v>
      </c>
      <c r="G48" s="38" t="n">
        <f aca="false">E48-C48</f>
        <v>2077371.03616715</v>
      </c>
      <c r="H48" s="38" t="n">
        <f aca="false">C48-F48</f>
        <v>-1958155.02100686</v>
      </c>
      <c r="I48" s="38" t="n">
        <f aca="false">E48-F48</f>
        <v>119216.015160292</v>
      </c>
    </row>
    <row r="49" customFormat="false" ht="15" hidden="false" customHeight="false" outlineLevel="0" collapsed="false">
      <c r="A49" s="3" t="s">
        <v>423</v>
      </c>
      <c r="B49" s="3" t="s">
        <v>706</v>
      </c>
      <c r="C49" s="38" t="n">
        <f aca="false">F27</f>
        <v>527621.052161902</v>
      </c>
      <c r="D49" s="3" t="s">
        <v>704</v>
      </c>
      <c r="E49" s="38" t="n">
        <f aca="false">F25</f>
        <v>847572.670293735</v>
      </c>
      <c r="F49" s="38" t="n">
        <f aca="false">$B$12</f>
        <v>612714.567622496</v>
      </c>
      <c r="G49" s="38" t="n">
        <f aca="false">E49-C49</f>
        <v>319951.618131833</v>
      </c>
      <c r="H49" s="38" t="n">
        <f aca="false">C49-F49</f>
        <v>-85093.5154605937</v>
      </c>
      <c r="I49" s="38" t="n">
        <f aca="false">E49-F49</f>
        <v>234858.102671239</v>
      </c>
    </row>
    <row r="50" customFormat="false" ht="15" hidden="false" customHeight="false" outlineLevel="0" collapsed="false">
      <c r="A50" s="3" t="s">
        <v>453</v>
      </c>
      <c r="B50" s="3" t="s">
        <v>707</v>
      </c>
      <c r="C50" s="38" t="n">
        <f aca="false">F28</f>
        <v>462212.630617382</v>
      </c>
      <c r="D50" s="3" t="s">
        <v>709</v>
      </c>
      <c r="E50" s="38" t="n">
        <f aca="false">F30</f>
        <v>763216.504627609</v>
      </c>
      <c r="F50" s="38" t="n">
        <f aca="false">$B$12</f>
        <v>612714.567622496</v>
      </c>
      <c r="G50" s="38" t="n">
        <f aca="false">E50-C50</f>
        <v>301003.874010227</v>
      </c>
      <c r="H50" s="38" t="n">
        <f aca="false">C50-F50</f>
        <v>-150501.937005113</v>
      </c>
      <c r="I50" s="38" t="n">
        <f aca="false">E50-F50</f>
        <v>150501.937005113</v>
      </c>
    </row>
    <row r="51" customFormat="false" ht="15" hidden="false" customHeight="false" outlineLevel="0" collapsed="false">
      <c r="A51" s="3" t="s">
        <v>710</v>
      </c>
      <c r="B51" s="3" t="s">
        <v>712</v>
      </c>
      <c r="C51" s="38" t="n">
        <f aca="false">F33</f>
        <v>475427.714888953</v>
      </c>
      <c r="D51" s="3" t="s">
        <v>711</v>
      </c>
      <c r="E51" s="38" t="n">
        <f aca="false">F31</f>
        <v>750001.420356039</v>
      </c>
      <c r="F51" s="38" t="n">
        <f aca="false">$B$12</f>
        <v>612714.567622496</v>
      </c>
      <c r="G51" s="38" t="n">
        <f aca="false">E51-C51</f>
        <v>274573.705467086</v>
      </c>
      <c r="H51" s="38" t="n">
        <f aca="false">C51-F51</f>
        <v>-137286.852733543</v>
      </c>
      <c r="I51" s="38" t="n">
        <f aca="false">E51-F51</f>
        <v>137286.852733543</v>
      </c>
    </row>
    <row r="52" customFormat="false" ht="15" hidden="false" customHeight="false" outlineLevel="0" collapsed="false">
      <c r="A52" s="3" t="s">
        <v>717</v>
      </c>
      <c r="B52" s="3" t="s">
        <v>718</v>
      </c>
      <c r="C52" s="38" t="n">
        <f aca="false">F37</f>
        <v>527621.052161902</v>
      </c>
      <c r="D52" s="3" t="s">
        <v>720</v>
      </c>
      <c r="E52" s="38" t="n">
        <f aca="false">F39</f>
        <v>678593.418301665</v>
      </c>
      <c r="F52" s="38" t="n">
        <f aca="false">$B$12</f>
        <v>612714.567622496</v>
      </c>
      <c r="G52" s="38" t="n">
        <f aca="false">E52-C52</f>
        <v>150972.366139763</v>
      </c>
      <c r="H52" s="38" t="n">
        <f aca="false">C52-F52</f>
        <v>-85093.5154605939</v>
      </c>
      <c r="I52" s="38" t="n">
        <f aca="false">E52-F52</f>
        <v>65878.8506791693</v>
      </c>
    </row>
    <row r="53" customFormat="false" ht="15" hidden="false" customHeight="false" outlineLevel="0" collapsed="false">
      <c r="A53" s="3" t="s">
        <v>713</v>
      </c>
      <c r="B53" s="3" t="s">
        <v>716</v>
      </c>
      <c r="C53" s="38" t="n">
        <f aca="false">F36</f>
        <v>498308.85701121</v>
      </c>
      <c r="D53" s="3" t="s">
        <v>714</v>
      </c>
      <c r="E53" s="38" t="n">
        <f aca="false">F34</f>
        <v>635595.709744753</v>
      </c>
      <c r="F53" s="38" t="n">
        <f aca="false">$B$12</f>
        <v>612714.567622496</v>
      </c>
      <c r="G53" s="38" t="n">
        <f aca="false">E53-C53</f>
        <v>137286.852733543</v>
      </c>
      <c r="H53" s="38" t="n">
        <f aca="false">C53-F53</f>
        <v>-114405.710611286</v>
      </c>
      <c r="I53" s="38" t="n">
        <f aca="false">E53-F53</f>
        <v>22881.1421222572</v>
      </c>
    </row>
    <row r="55" customFormat="false" ht="15" hidden="false" customHeight="false" outlineLevel="0" collapsed="false">
      <c r="A55" s="5" t="s">
        <v>734</v>
      </c>
    </row>
    <row r="56" customFormat="false" ht="15" hidden="false" customHeight="false" outlineLevel="0" collapsed="false">
      <c r="A56" s="14" t="s">
        <v>52</v>
      </c>
      <c r="B56" s="14" t="s">
        <v>726</v>
      </c>
      <c r="C56" s="14" t="s">
        <v>727</v>
      </c>
      <c r="D56" s="14" t="s">
        <v>728</v>
      </c>
      <c r="E56" s="14" t="s">
        <v>729</v>
      </c>
      <c r="F56" s="14" t="s">
        <v>730</v>
      </c>
      <c r="G56" s="14" t="s">
        <v>731</v>
      </c>
      <c r="H56" s="14" t="s">
        <v>732</v>
      </c>
      <c r="I56" s="14" t="s">
        <v>733</v>
      </c>
    </row>
    <row r="57" customFormat="false" ht="15" hidden="false" customHeight="false" outlineLevel="0" collapsed="false">
      <c r="A57" s="3" t="s">
        <v>721</v>
      </c>
      <c r="B57" s="3" t="s">
        <v>723</v>
      </c>
      <c r="C57" s="38" t="n">
        <f aca="false">E43</f>
        <v>-287205.111125829</v>
      </c>
      <c r="D57" s="3" t="s">
        <v>707</v>
      </c>
      <c r="E57" s="38" t="n">
        <f aca="false">E40</f>
        <v>179821.891007444</v>
      </c>
      <c r="F57" s="38" t="n">
        <f aca="false">$B$6</f>
        <v>153020.18</v>
      </c>
      <c r="G57" s="38" t="n">
        <f aca="false">E57-C57</f>
        <v>467027.002133273</v>
      </c>
      <c r="H57" s="38" t="n">
        <f aca="false">C57-F57</f>
        <v>-440225.291125829</v>
      </c>
      <c r="I57" s="38" t="n">
        <f aca="false">E57-F57</f>
        <v>26801.7110074438</v>
      </c>
    </row>
    <row r="58" customFormat="false" ht="15" hidden="false" customHeight="false" outlineLevel="0" collapsed="false">
      <c r="A58" s="3" t="s">
        <v>423</v>
      </c>
      <c r="B58" s="3" t="s">
        <v>706</v>
      </c>
      <c r="C58" s="38" t="n">
        <f aca="false">E27</f>
        <v>133889.765290904</v>
      </c>
      <c r="D58" s="3" t="s">
        <v>704</v>
      </c>
      <c r="E58" s="38" t="n">
        <f aca="false">E25</f>
        <v>205820.124597106</v>
      </c>
      <c r="F58" s="38" t="n">
        <f aca="false">$B$6</f>
        <v>153020.18</v>
      </c>
      <c r="G58" s="38" t="n">
        <f aca="false">E58-C58</f>
        <v>71930.3593062017</v>
      </c>
      <c r="H58" s="38" t="n">
        <f aca="false">C58-F58</f>
        <v>-19130.4147090962</v>
      </c>
      <c r="I58" s="38" t="n">
        <f aca="false">E58-F58</f>
        <v>52799.9445971055</v>
      </c>
    </row>
    <row r="59" customFormat="false" ht="15" hidden="false" customHeight="false" outlineLevel="0" collapsed="false">
      <c r="A59" s="3" t="s">
        <v>453</v>
      </c>
      <c r="B59" s="3" t="s">
        <v>707</v>
      </c>
      <c r="C59" s="38" t="n">
        <f aca="false">E28</f>
        <v>119892.68</v>
      </c>
      <c r="D59" s="3" t="s">
        <v>709</v>
      </c>
      <c r="E59" s="38" t="n">
        <f aca="false">E30</f>
        <v>186147.68</v>
      </c>
      <c r="F59" s="38" t="n">
        <f aca="false">$B$6</f>
        <v>153020.18</v>
      </c>
      <c r="G59" s="38" t="n">
        <f aca="false">E59-C59</f>
        <v>66255</v>
      </c>
      <c r="H59" s="38" t="n">
        <f aca="false">C59-F59</f>
        <v>-33127.5</v>
      </c>
      <c r="I59" s="38" t="n">
        <f aca="false">E59-F59</f>
        <v>33127.5</v>
      </c>
    </row>
    <row r="60" customFormat="false" ht="15" hidden="false" customHeight="false" outlineLevel="0" collapsed="false">
      <c r="A60" s="3" t="s">
        <v>710</v>
      </c>
      <c r="B60" s="3" t="s">
        <v>712</v>
      </c>
      <c r="C60" s="38" t="n">
        <f aca="false">E33</f>
        <v>118029.98</v>
      </c>
      <c r="D60" s="3" t="s">
        <v>711</v>
      </c>
      <c r="E60" s="38" t="n">
        <f aca="false">E31</f>
        <v>188010.38</v>
      </c>
      <c r="F60" s="38" t="n">
        <f aca="false">$B$6</f>
        <v>153020.18</v>
      </c>
      <c r="G60" s="38" t="n">
        <f aca="false">E60-C60</f>
        <v>69980.4</v>
      </c>
      <c r="H60" s="38" t="n">
        <f aca="false">C60-F60</f>
        <v>-34990.2</v>
      </c>
      <c r="I60" s="38" t="n">
        <f aca="false">E60-F60</f>
        <v>34990.2</v>
      </c>
    </row>
    <row r="61" customFormat="false" ht="15" hidden="false" customHeight="false" outlineLevel="0" collapsed="false">
      <c r="A61" s="3" t="s">
        <v>717</v>
      </c>
      <c r="B61" s="3" t="s">
        <v>718</v>
      </c>
      <c r="C61" s="38" t="n">
        <f aca="false">E37</f>
        <v>133889.765290904</v>
      </c>
      <c r="D61" s="3" t="s">
        <v>720</v>
      </c>
      <c r="E61" s="38" t="n">
        <f aca="false">E39</f>
        <v>167830.823645752</v>
      </c>
      <c r="F61" s="38" t="n">
        <f aca="false">$B$6</f>
        <v>153020.18</v>
      </c>
      <c r="G61" s="38" t="n">
        <f aca="false">E61-C61</f>
        <v>33941.0583548481</v>
      </c>
      <c r="H61" s="38" t="n">
        <f aca="false">C61-F61</f>
        <v>-19130.4147090962</v>
      </c>
      <c r="I61" s="38" t="n">
        <f aca="false">E61-F61</f>
        <v>14810.6436457519</v>
      </c>
    </row>
    <row r="62" customFormat="false" ht="15" hidden="false" customHeight="false" outlineLevel="0" collapsed="false">
      <c r="A62" s="3" t="s">
        <v>713</v>
      </c>
      <c r="B62" s="3" t="s">
        <v>716</v>
      </c>
      <c r="C62" s="38" t="n">
        <f aca="false">E36</f>
        <v>129693.38</v>
      </c>
      <c r="D62" s="3" t="s">
        <v>714</v>
      </c>
      <c r="E62" s="38" t="n">
        <f aca="false">E34</f>
        <v>164683.58</v>
      </c>
      <c r="F62" s="38" t="n">
        <f aca="false">$B$6</f>
        <v>153020.18</v>
      </c>
      <c r="G62" s="38" t="n">
        <f aca="false">E62-C62</f>
        <v>34990.2</v>
      </c>
      <c r="H62" s="38" t="n">
        <f aca="false">C62-F62</f>
        <v>-23326.8</v>
      </c>
      <c r="I62" s="38" t="n">
        <f aca="false">E62-F62</f>
        <v>11663.4</v>
      </c>
    </row>
    <row r="64" customFormat="false" ht="15" hidden="false" customHeight="false" outlineLevel="0" collapsed="false">
      <c r="A64" s="4" t="s">
        <v>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20"/>
    <col collapsed="false" customWidth="true" hidden="false" outlineLevel="0" max="4" min="4" style="1" width="22"/>
    <col collapsed="false" customWidth="true" hidden="false" outlineLevel="0" max="5" min="5" style="1" width="16"/>
    <col collapsed="false" customWidth="true" hidden="false" outlineLevel="0" max="6" min="6" style="1" width="20"/>
    <col collapsed="false" customWidth="true" hidden="false" outlineLevel="0" max="7" min="7" style="1" width="14"/>
  </cols>
  <sheetData>
    <row r="1" customFormat="false" ht="17.35" hidden="false" customHeight="false" outlineLevel="0" collapsed="false">
      <c r="A1" s="11" t="s">
        <v>36</v>
      </c>
    </row>
    <row r="2" customFormat="false" ht="15" hidden="false" customHeight="false" outlineLevel="0" collapsed="false">
      <c r="A2" s="3" t="str">
        <f aca="false">"Active scenario: "&amp;ScenarioName&amp;". Duty: "&amp;DutyScenarioName&amp;". FX "&amp;TEXT(FXRate,"#,##0")&amp;"."</f>
        <v>Active scenario: Medium. Duty: Copper. FX 1,430.</v>
      </c>
    </row>
    <row r="4" customFormat="false" ht="15" hidden="false" customHeight="false" outlineLevel="0" collapsed="false">
      <c r="A4" s="14" t="s">
        <v>736</v>
      </c>
      <c r="B4" s="14" t="s">
        <v>737</v>
      </c>
      <c r="C4" s="14" t="s">
        <v>59</v>
      </c>
    </row>
    <row r="5" customFormat="false" ht="15" hidden="false" customHeight="false" outlineLevel="0" collapsed="false">
      <c r="A5" s="3" t="s">
        <v>681</v>
      </c>
      <c r="B5" s="67" t="n">
        <f aca="false">'Monthly PL Y1 Y2'!$C$60</f>
        <v>1166340</v>
      </c>
      <c r="C5" s="3"/>
    </row>
    <row r="6" customFormat="false" ht="15" hidden="false" customHeight="false" outlineLevel="0" collapsed="false">
      <c r="A6" s="3" t="s">
        <v>501</v>
      </c>
      <c r="B6" s="67" t="n">
        <f aca="false">'Monthly PL Y1 Y2'!$C$61</f>
        <v>153020.18</v>
      </c>
      <c r="C6" s="3"/>
    </row>
    <row r="7" customFormat="false" ht="15" hidden="false" customHeight="false" outlineLevel="0" collapsed="false">
      <c r="A7" s="3" t="s">
        <v>502</v>
      </c>
      <c r="B7" s="76" t="n">
        <f aca="false">'Monthly PL Y1 Y2'!$C$62</f>
        <v>0.13119688941475</v>
      </c>
      <c r="C7" s="3"/>
    </row>
    <row r="8" customFormat="false" ht="15" hidden="false" customHeight="false" outlineLevel="0" collapsed="false">
      <c r="A8" s="3" t="s">
        <v>738</v>
      </c>
      <c r="B8" s="69" t="n">
        <f aca="false">'Monthly PL Y1 Y2'!$C$63</f>
        <v>8</v>
      </c>
      <c r="C8" s="3"/>
    </row>
    <row r="9" customFormat="false" ht="15" hidden="false" customHeight="false" outlineLevel="0" collapsed="false">
      <c r="A9" s="3" t="s">
        <v>739</v>
      </c>
      <c r="B9" s="67" t="n">
        <f aca="false">'Monthly PL Y1 Y2'!$C$64</f>
        <v>1537200</v>
      </c>
      <c r="C9" s="3"/>
    </row>
    <row r="10" customFormat="false" ht="15" hidden="false" customHeight="false" outlineLevel="0" collapsed="false">
      <c r="A10" s="3" t="s">
        <v>740</v>
      </c>
      <c r="B10" s="76" t="n">
        <f aca="false">'Monthly PL Y1 Y2'!$C$65</f>
        <v>0.1721</v>
      </c>
      <c r="C10" s="3"/>
    </row>
    <row r="11" customFormat="false" ht="15" hidden="false" customHeight="false" outlineLevel="0" collapsed="false">
      <c r="A11" s="3" t="s">
        <v>687</v>
      </c>
      <c r="B11" s="67" t="n">
        <f aca="false">'Annual PL Y1 to Y5'!$G$69</f>
        <v>4576228.42445143</v>
      </c>
      <c r="C11" s="3"/>
    </row>
    <row r="12" customFormat="false" ht="15" hidden="false" customHeight="false" outlineLevel="0" collapsed="false">
      <c r="A12" s="3" t="s">
        <v>688</v>
      </c>
      <c r="B12" s="67" t="n">
        <f aca="false">'Annual PL Y1 to Y5'!$G$80</f>
        <v>612714.567622496</v>
      </c>
      <c r="C12" s="3"/>
    </row>
    <row r="13" customFormat="false" ht="15" hidden="false" customHeight="false" outlineLevel="0" collapsed="false">
      <c r="A13" s="3" t="s">
        <v>741</v>
      </c>
      <c r="B13" s="76" t="n">
        <f aca="false">'Annual PL Y1 to Y5'!$G$81</f>
        <v>0.133890730704935</v>
      </c>
      <c r="C13" s="3"/>
    </row>
    <row r="14" customFormat="false" ht="15" hidden="false" customHeight="false" outlineLevel="0" collapsed="false">
      <c r="A14" s="3" t="s">
        <v>742</v>
      </c>
      <c r="B14" s="67" t="n">
        <f aca="false">'Cash Flow and Working Capital'!$C$48</f>
        <v>96319.1887175048</v>
      </c>
      <c r="C14" s="3"/>
    </row>
    <row r="15" customFormat="false" ht="15" hidden="false" customHeight="false" outlineLevel="0" collapsed="false">
      <c r="A15" s="3" t="s">
        <v>621</v>
      </c>
      <c r="B15" s="70" t="str">
        <f aca="false">'Cash Flow and Working Capital'!$C$46</f>
        <v>Month 12</v>
      </c>
      <c r="C15" s="3"/>
    </row>
    <row r="16" customFormat="false" ht="15" hidden="false" customHeight="false" outlineLevel="0" collapsed="false">
      <c r="A16" s="3" t="s">
        <v>743</v>
      </c>
      <c r="B16" s="67" t="n">
        <f aca="false">'Cash Flow and Working Capital'!$C$49</f>
        <v>115583.026461006</v>
      </c>
      <c r="C16" s="3"/>
    </row>
    <row r="17" customFormat="false" ht="15" hidden="false" customHeight="false" outlineLevel="0" collapsed="false">
      <c r="A17" s="3" t="s">
        <v>623</v>
      </c>
      <c r="B17" s="69" t="n">
        <f aca="false">'Cash Flow and Working Capital'!$C$50</f>
        <v>2</v>
      </c>
      <c r="C17" s="3"/>
    </row>
    <row r="18" customFormat="false" ht="15" hidden="false" customHeight="false" outlineLevel="0" collapsed="false">
      <c r="A18" s="3" t="s">
        <v>744</v>
      </c>
      <c r="B18" s="70" t="str">
        <f aca="false">'Funding and Breakeven'!$B$33</f>
        <v>PASS</v>
      </c>
      <c r="C18" s="3"/>
    </row>
    <row r="19" customFormat="false" ht="15" hidden="false" customHeight="false" outlineLevel="0" collapsed="false">
      <c r="A19" s="3" t="s">
        <v>665</v>
      </c>
      <c r="B19" s="70" t="str">
        <f aca="false">'Funding and Breakeven'!$B$41</f>
        <v>PASS</v>
      </c>
      <c r="C19" s="3"/>
    </row>
    <row r="21" customFormat="false" ht="15" hidden="false" customHeight="false" outlineLevel="0" collapsed="false">
      <c r="A21" s="5" t="s">
        <v>745</v>
      </c>
    </row>
    <row r="22" customFormat="false" ht="15" hidden="false" customHeight="false" outlineLevel="0" collapsed="false">
      <c r="A22" s="14" t="s">
        <v>229</v>
      </c>
      <c r="B22" s="14" t="s">
        <v>495</v>
      </c>
      <c r="C22" s="14" t="s">
        <v>496</v>
      </c>
      <c r="D22" s="14" t="s">
        <v>746</v>
      </c>
      <c r="E22" s="14" t="s">
        <v>747</v>
      </c>
      <c r="F22" s="14" t="s">
        <v>748</v>
      </c>
    </row>
    <row r="23" customFormat="false" ht="15" hidden="false" customHeight="false" outlineLevel="0" collapsed="false">
      <c r="A23" s="3" t="s">
        <v>749</v>
      </c>
      <c r="D23" s="60" t="n">
        <f aca="false">'Cash Flow and Working Capital'!C33</f>
        <v>31128.7459207459</v>
      </c>
      <c r="E23" s="60" t="n">
        <f aca="false">IF(0='Cash Flow and Working Capital'!$C$47,D23,0)</f>
        <v>0</v>
      </c>
      <c r="F23" s="60" t="n">
        <f aca="false">'Cash Flow and Working Capital'!$C$43</f>
        <v>-96319.1887175048</v>
      </c>
    </row>
    <row r="24" customFormat="false" ht="15" hidden="false" customHeight="false" outlineLevel="0" collapsed="false">
      <c r="A24" s="3" t="s">
        <v>232</v>
      </c>
      <c r="B24" s="60" t="n">
        <f aca="false">'Monthly PL Y1 Y2'!D54</f>
        <v>6300</v>
      </c>
      <c r="C24" s="60" t="n">
        <f aca="false">'Monthly PL Y1 Y2'!D55</f>
        <v>-10458.99</v>
      </c>
      <c r="D24" s="60" t="n">
        <f aca="false">'Cash Flow and Working Capital'!D33</f>
        <v>8533.71675990675</v>
      </c>
      <c r="E24" s="60" t="n">
        <f aca="false">IF(1='Cash Flow and Working Capital'!$C$47,D24,0)</f>
        <v>0</v>
      </c>
      <c r="F24" s="60" t="n">
        <f aca="false">'Cash Flow and Working Capital'!$C$43</f>
        <v>-96319.1887175048</v>
      </c>
    </row>
    <row r="25" customFormat="false" ht="15" hidden="false" customHeight="false" outlineLevel="0" collapsed="false">
      <c r="A25" s="3" t="s">
        <v>234</v>
      </c>
      <c r="B25" s="60" t="n">
        <f aca="false">'Monthly PL Y1 Y2'!E54</f>
        <v>10080</v>
      </c>
      <c r="C25" s="60" t="n">
        <f aca="false">'Monthly PL Y1 Y2'!E55</f>
        <v>-1000.39</v>
      </c>
      <c r="D25" s="60" t="n">
        <f aca="false">'Cash Flow and Working Capital'!E33</f>
        <v>236.339813519809</v>
      </c>
      <c r="E25" s="60" t="n">
        <f aca="false">IF(2='Cash Flow and Working Capital'!$C$47,D25,0)</f>
        <v>0</v>
      </c>
      <c r="F25" s="60" t="n">
        <f aca="false">'Cash Flow and Working Capital'!$C$43</f>
        <v>-96319.1887175048</v>
      </c>
    </row>
    <row r="26" customFormat="false" ht="15" hidden="false" customHeight="false" outlineLevel="0" collapsed="false">
      <c r="A26" s="3" t="s">
        <v>235</v>
      </c>
      <c r="B26" s="60" t="n">
        <f aca="false">'Monthly PL Y1 Y2'!F54</f>
        <v>15120</v>
      </c>
      <c r="C26" s="60" t="n">
        <f aca="false">'Monthly PL Y1 Y2'!F55</f>
        <v>-1055.59</v>
      </c>
      <c r="D26" s="60" t="n">
        <f aca="false">'Cash Flow and Working Capital'!F33</f>
        <v>-9084.32897435898</v>
      </c>
      <c r="E26" s="60" t="n">
        <f aca="false">IF(3='Cash Flow and Working Capital'!$C$47,D26,0)</f>
        <v>0</v>
      </c>
      <c r="F26" s="60" t="n">
        <f aca="false">'Cash Flow and Working Capital'!$C$43</f>
        <v>-96319.1887175048</v>
      </c>
    </row>
    <row r="27" customFormat="false" ht="15" hidden="false" customHeight="false" outlineLevel="0" collapsed="false">
      <c r="A27" s="3" t="s">
        <v>236</v>
      </c>
      <c r="B27" s="60" t="n">
        <f aca="false">'Monthly PL Y1 Y2'!G54</f>
        <v>21000</v>
      </c>
      <c r="C27" s="60" t="n">
        <f aca="false">'Monthly PL Y1 Y2'!G55</f>
        <v>560.01</v>
      </c>
      <c r="D27" s="60" t="n">
        <f aca="false">'Cash Flow and Working Capital'!G33</f>
        <v>-18385.3516083916</v>
      </c>
      <c r="E27" s="60" t="n">
        <f aca="false">IF(4='Cash Flow and Working Capital'!$C$47,D27,0)</f>
        <v>0</v>
      </c>
      <c r="F27" s="60" t="n">
        <f aca="false">'Cash Flow and Working Capital'!$C$43</f>
        <v>-96319.1887175048</v>
      </c>
    </row>
    <row r="28" customFormat="false" ht="15" hidden="false" customHeight="false" outlineLevel="0" collapsed="false">
      <c r="A28" s="3" t="s">
        <v>237</v>
      </c>
      <c r="B28" s="60" t="n">
        <f aca="false">'Monthly PL Y1 Y2'!H54</f>
        <v>27300</v>
      </c>
      <c r="C28" s="60" t="n">
        <f aca="false">'Monthly PL Y1 Y2'!H55</f>
        <v>995.01</v>
      </c>
      <c r="D28" s="60" t="n">
        <f aca="false">'Cash Flow and Working Capital'!H33</f>
        <v>-30785.1905594406</v>
      </c>
      <c r="E28" s="60" t="n">
        <f aca="false">IF(5='Cash Flow and Working Capital'!$C$47,D28,0)</f>
        <v>0</v>
      </c>
      <c r="F28" s="60" t="n">
        <f aca="false">'Cash Flow and Working Capital'!$C$43</f>
        <v>-96319.1887175048</v>
      </c>
    </row>
    <row r="29" customFormat="false" ht="15" hidden="false" customHeight="false" outlineLevel="0" collapsed="false">
      <c r="A29" s="3" t="s">
        <v>238</v>
      </c>
      <c r="B29" s="60" t="n">
        <f aca="false">'Monthly PL Y1 Y2'!I54</f>
        <v>34440</v>
      </c>
      <c r="C29" s="60" t="n">
        <f aca="false">'Monthly PL Y1 Y2'!I55</f>
        <v>1488.01</v>
      </c>
      <c r="D29" s="60" t="n">
        <f aca="false">'Cash Flow and Working Capital'!I33</f>
        <v>-40401.4277389278</v>
      </c>
      <c r="E29" s="60" t="n">
        <f aca="false">IF(6='Cash Flow and Working Capital'!$C$47,D29,0)</f>
        <v>0</v>
      </c>
      <c r="F29" s="60" t="n">
        <f aca="false">'Cash Flow and Working Capital'!$C$43</f>
        <v>-96319.1887175048</v>
      </c>
    </row>
    <row r="30" customFormat="false" ht="15" hidden="false" customHeight="false" outlineLevel="0" collapsed="false">
      <c r="A30" s="3" t="s">
        <v>239</v>
      </c>
      <c r="B30" s="60" t="n">
        <f aca="false">'Monthly PL Y1 Y2'!J54</f>
        <v>42000</v>
      </c>
      <c r="C30" s="60" t="n">
        <f aca="false">'Monthly PL Y1 Y2'!J55</f>
        <v>4950.01</v>
      </c>
      <c r="D30" s="60" t="n">
        <f aca="false">'Cash Flow and Working Capital'!J33</f>
        <v>-48398.5171794872</v>
      </c>
      <c r="E30" s="60" t="n">
        <f aca="false">IF(7='Cash Flow and Working Capital'!$C$47,D30,0)</f>
        <v>0</v>
      </c>
      <c r="F30" s="60" t="n">
        <f aca="false">'Cash Flow and Working Capital'!$C$43</f>
        <v>-96319.1887175048</v>
      </c>
    </row>
    <row r="31" customFormat="false" ht="15" hidden="false" customHeight="false" outlineLevel="0" collapsed="false">
      <c r="A31" s="3" t="s">
        <v>240</v>
      </c>
      <c r="B31" s="60" t="n">
        <f aca="false">'Monthly PL Y1 Y2'!K54</f>
        <v>50400</v>
      </c>
      <c r="C31" s="60" t="n">
        <f aca="false">'Monthly PL Y1 Y2'!K55</f>
        <v>6118.01</v>
      </c>
      <c r="D31" s="60" t="n">
        <f aca="false">'Cash Flow and Working Capital'!K33</f>
        <v>-55585.4049039849</v>
      </c>
      <c r="E31" s="60" t="n">
        <f aca="false">IF(8='Cash Flow and Working Capital'!$C$47,D31,0)</f>
        <v>0</v>
      </c>
      <c r="F31" s="60" t="n">
        <f aca="false">'Cash Flow and Working Capital'!$C$43</f>
        <v>-96319.1887175048</v>
      </c>
    </row>
    <row r="32" customFormat="false" ht="15" hidden="false" customHeight="false" outlineLevel="0" collapsed="false">
      <c r="A32" s="3" t="s">
        <v>241</v>
      </c>
      <c r="B32" s="60" t="n">
        <f aca="false">'Monthly PL Y1 Y2'!L54</f>
        <v>58800</v>
      </c>
      <c r="C32" s="60" t="n">
        <f aca="false">'Monthly PL Y1 Y2'!L55</f>
        <v>7286.01</v>
      </c>
      <c r="D32" s="60" t="n">
        <f aca="false">'Cash Flow and Working Capital'!L33</f>
        <v>-64474.337000407</v>
      </c>
      <c r="E32" s="60" t="n">
        <f aca="false">IF(9='Cash Flow and Working Capital'!$C$47,D32,0)</f>
        <v>0</v>
      </c>
      <c r="F32" s="60" t="n">
        <f aca="false">'Cash Flow and Working Capital'!$C$43</f>
        <v>-96319.1887175048</v>
      </c>
    </row>
    <row r="33" customFormat="false" ht="15" hidden="false" customHeight="false" outlineLevel="0" collapsed="false">
      <c r="A33" s="3" t="s">
        <v>242</v>
      </c>
      <c r="B33" s="60" t="n">
        <f aca="false">'Monthly PL Y1 Y2'!M54</f>
        <v>67200</v>
      </c>
      <c r="C33" s="60" t="n">
        <f aca="false">'Monthly PL Y1 Y2'!M55</f>
        <v>8454.01</v>
      </c>
      <c r="D33" s="60" t="n">
        <f aca="false">'Cash Flow and Working Capital'!M33</f>
        <v>-76337.1251977652</v>
      </c>
      <c r="E33" s="60" t="n">
        <f aca="false">IF(10='Cash Flow and Working Capital'!$C$47,D33,0)</f>
        <v>0</v>
      </c>
      <c r="F33" s="60" t="n">
        <f aca="false">'Cash Flow and Working Capital'!$C$43</f>
        <v>-96319.1887175048</v>
      </c>
    </row>
    <row r="34" customFormat="false" ht="15" hidden="false" customHeight="false" outlineLevel="0" collapsed="false">
      <c r="A34" s="3" t="s">
        <v>243</v>
      </c>
      <c r="B34" s="60" t="n">
        <f aca="false">'Monthly PL Y1 Y2'!N54</f>
        <v>75600</v>
      </c>
      <c r="C34" s="60" t="n">
        <f aca="false">'Monthly PL Y1 Y2'!N55</f>
        <v>9622.01</v>
      </c>
      <c r="D34" s="60" t="n">
        <f aca="false">'Cash Flow and Working Capital'!N33</f>
        <v>-87168.5191871092</v>
      </c>
      <c r="E34" s="60" t="n">
        <f aca="false">IF(11='Cash Flow and Working Capital'!$C$47,D34,0)</f>
        <v>0</v>
      </c>
      <c r="F34" s="60" t="n">
        <f aca="false">'Cash Flow and Working Capital'!$C$43</f>
        <v>-96319.1887175048</v>
      </c>
    </row>
    <row r="35" customFormat="false" ht="15" hidden="false" customHeight="false" outlineLevel="0" collapsed="false">
      <c r="A35" s="3" t="s">
        <v>244</v>
      </c>
      <c r="B35" s="60" t="n">
        <f aca="false">'Monthly PL Y1 Y2'!O54</f>
        <v>86100</v>
      </c>
      <c r="C35" s="60" t="n">
        <f aca="false">'Monthly PL Y1 Y2'!O55</f>
        <v>11082.01</v>
      </c>
      <c r="D35" s="60" t="n">
        <f aca="false">'Cash Flow and Working Capital'!O33</f>
        <v>-96319.1887175048</v>
      </c>
      <c r="E35" s="60" t="n">
        <f aca="false">IF(12='Cash Flow and Working Capital'!$C$47,D35,0)</f>
        <v>-96319.1887175048</v>
      </c>
      <c r="F35" s="60" t="n">
        <f aca="false">'Cash Flow and Working Capital'!$C$43</f>
        <v>-96319.1887175048</v>
      </c>
    </row>
    <row r="36" customFormat="false" ht="15" hidden="false" customHeight="false" outlineLevel="0" collapsed="false">
      <c r="A36" s="3" t="s">
        <v>245</v>
      </c>
      <c r="B36" s="60" t="n">
        <f aca="false">'Monthly PL Y1 Y2'!P54</f>
        <v>112060</v>
      </c>
      <c r="C36" s="60" t="n">
        <f aca="false">'Monthly PL Y1 Y2'!P55</f>
        <v>19038.9750793651</v>
      </c>
      <c r="D36" s="60" t="n">
        <f aca="false">'Cash Flow and Working Capital'!P33</f>
        <v>-95581.753997632</v>
      </c>
      <c r="E36" s="60" t="n">
        <f aca="false">IF(13='Cash Flow and Working Capital'!$C$47,D36,0)</f>
        <v>0</v>
      </c>
      <c r="F36" s="60" t="n">
        <f aca="false">'Cash Flow and Working Capital'!$C$43</f>
        <v>-96319.1887175048</v>
      </c>
    </row>
    <row r="37" customFormat="false" ht="15" hidden="false" customHeight="false" outlineLevel="0" collapsed="false">
      <c r="A37" s="3" t="s">
        <v>246</v>
      </c>
      <c r="B37" s="60" t="n">
        <f aca="false">'Monthly PL Y1 Y2'!Q54</f>
        <v>121132</v>
      </c>
      <c r="C37" s="60" t="n">
        <f aca="false">'Monthly PL Y1 Y2'!Q55</f>
        <v>20714.4950793651</v>
      </c>
      <c r="D37" s="60" t="n">
        <f aca="false">'Cash Flow and Working Capital'!Q33</f>
        <v>-85176.1964194324</v>
      </c>
      <c r="E37" s="60" t="n">
        <f aca="false">IF(14='Cash Flow and Working Capital'!$C$47,D37,0)</f>
        <v>0</v>
      </c>
      <c r="F37" s="60" t="n">
        <f aca="false">'Cash Flow and Working Capital'!$C$43</f>
        <v>-96319.1887175048</v>
      </c>
    </row>
    <row r="38" customFormat="false" ht="15" hidden="false" customHeight="false" outlineLevel="0" collapsed="false">
      <c r="A38" s="3" t="s">
        <v>247</v>
      </c>
      <c r="B38" s="60" t="n">
        <f aca="false">'Monthly PL Y1 Y2'!R54</f>
        <v>127936</v>
      </c>
      <c r="C38" s="60" t="n">
        <f aca="false">'Monthly PL Y1 Y2'!R55</f>
        <v>21971.1350793651</v>
      </c>
      <c r="D38" s="60" t="n">
        <f aca="false">'Cash Flow and Working Capital'!R33</f>
        <v>-72584.260976431</v>
      </c>
      <c r="E38" s="60" t="n">
        <f aca="false">IF(15='Cash Flow and Working Capital'!$C$47,D38,0)</f>
        <v>0</v>
      </c>
      <c r="F38" s="60" t="n">
        <f aca="false">'Cash Flow and Working Capital'!$C$43</f>
        <v>-96319.1887175048</v>
      </c>
    </row>
    <row r="39" customFormat="false" ht="15" hidden="false" customHeight="false" outlineLevel="0" collapsed="false">
      <c r="A39" s="3" t="s">
        <v>248</v>
      </c>
      <c r="B39" s="60" t="n">
        <f aca="false">'Monthly PL Y1 Y2'!S54</f>
        <v>134740</v>
      </c>
      <c r="C39" s="60" t="n">
        <f aca="false">'Monthly PL Y1 Y2'!S55</f>
        <v>23227.7750793651</v>
      </c>
      <c r="D39" s="60" t="n">
        <f aca="false">'Cash Flow and Working Capital'!S33</f>
        <v>-58017.4855334295</v>
      </c>
      <c r="E39" s="60" t="n">
        <f aca="false">IF(16='Cash Flow and Working Capital'!$C$47,D39,0)</f>
        <v>0</v>
      </c>
      <c r="F39" s="60" t="n">
        <f aca="false">'Cash Flow and Working Capital'!$C$43</f>
        <v>-96319.1887175048</v>
      </c>
    </row>
    <row r="40" customFormat="false" ht="15" hidden="false" customHeight="false" outlineLevel="0" collapsed="false">
      <c r="A40" s="3" t="s">
        <v>249</v>
      </c>
      <c r="B40" s="60" t="n">
        <f aca="false">'Monthly PL Y1 Y2'!T54</f>
        <v>141544</v>
      </c>
      <c r="C40" s="60" t="n">
        <f aca="false">'Monthly PL Y1 Y2'!T55</f>
        <v>24484.4150793651</v>
      </c>
      <c r="D40" s="60" t="n">
        <f aca="false">'Cash Flow and Working Capital'!T33</f>
        <v>-41455.9459785399</v>
      </c>
      <c r="E40" s="60" t="n">
        <f aca="false">IF(17='Cash Flow and Working Capital'!$C$47,D40,0)</f>
        <v>0</v>
      </c>
      <c r="F40" s="60" t="n">
        <f aca="false">'Cash Flow and Working Capital'!$C$43</f>
        <v>-96319.1887175048</v>
      </c>
    </row>
    <row r="41" customFormat="false" ht="15" hidden="false" customHeight="false" outlineLevel="0" collapsed="false">
      <c r="A41" s="3" t="s">
        <v>250</v>
      </c>
      <c r="B41" s="60" t="n">
        <f aca="false">'Monthly PL Y1 Y2'!U54</f>
        <v>148348</v>
      </c>
      <c r="C41" s="60" t="n">
        <f aca="false">'Monthly PL Y1 Y2'!U55</f>
        <v>25741.0550793651</v>
      </c>
      <c r="D41" s="60" t="n">
        <f aca="false">'Cash Flow and Working Capital'!U33</f>
        <v>-22853.1527173566</v>
      </c>
      <c r="E41" s="60" t="n">
        <f aca="false">IF(18='Cash Flow and Working Capital'!$C$47,D41,0)</f>
        <v>0</v>
      </c>
      <c r="F41" s="60" t="n">
        <f aca="false">'Cash Flow and Working Capital'!$C$43</f>
        <v>-96319.1887175048</v>
      </c>
    </row>
    <row r="42" customFormat="false" ht="15" hidden="false" customHeight="false" outlineLevel="0" collapsed="false">
      <c r="A42" s="3" t="s">
        <v>251</v>
      </c>
      <c r="B42" s="60" t="n">
        <f aca="false">'Monthly PL Y1 Y2'!V54</f>
        <v>152884</v>
      </c>
      <c r="C42" s="60" t="n">
        <f aca="false">'Monthly PL Y1 Y2'!V55</f>
        <v>28037.1584126984</v>
      </c>
      <c r="D42" s="60" t="n">
        <f aca="false">'Cash Flow and Working Capital'!V33</f>
        <v>-1252.63678950666</v>
      </c>
      <c r="E42" s="60" t="n">
        <f aca="false">IF(19='Cash Flow and Working Capital'!$C$47,D42,0)</f>
        <v>0</v>
      </c>
      <c r="F42" s="60" t="n">
        <f aca="false">'Cash Flow and Working Capital'!$C$43</f>
        <v>-96319.1887175048</v>
      </c>
    </row>
    <row r="43" customFormat="false" ht="15" hidden="false" customHeight="false" outlineLevel="0" collapsed="false">
      <c r="A43" s="3" t="s">
        <v>253</v>
      </c>
      <c r="B43" s="60" t="n">
        <f aca="false">'Monthly PL Y1 Y2'!W54</f>
        <v>157420</v>
      </c>
      <c r="C43" s="60" t="n">
        <f aca="false">'Monthly PL Y1 Y2'!W55</f>
        <v>28947.4584126984</v>
      </c>
      <c r="D43" s="60" t="n">
        <f aca="false">'Cash Flow and Working Capital'!W33</f>
        <v>19120.1579608541</v>
      </c>
      <c r="E43" s="60" t="n">
        <f aca="false">IF(20='Cash Flow and Working Capital'!$C$47,D43,0)</f>
        <v>0</v>
      </c>
      <c r="F43" s="60" t="n">
        <f aca="false">'Cash Flow and Working Capital'!$C$43</f>
        <v>-96319.1887175048</v>
      </c>
    </row>
    <row r="44" customFormat="false" ht="15" hidden="false" customHeight="false" outlineLevel="0" collapsed="false">
      <c r="A44" s="3" t="s">
        <v>254</v>
      </c>
      <c r="B44" s="60" t="n">
        <f aca="false">'Monthly PL Y1 Y2'!X54</f>
        <v>161956</v>
      </c>
      <c r="C44" s="60" t="n">
        <f aca="false">'Monthly PL Y1 Y2'!X55</f>
        <v>29857.7584126984</v>
      </c>
      <c r="D44" s="60" t="n">
        <f aca="false">'Cash Flow and Working Capital'!X33</f>
        <v>35464.3277492879</v>
      </c>
      <c r="E44" s="60" t="n">
        <f aca="false">IF(21='Cash Flow and Working Capital'!$C$47,D44,0)</f>
        <v>0</v>
      </c>
      <c r="F44" s="60" t="n">
        <f aca="false">'Cash Flow and Working Capital'!$C$43</f>
        <v>-96319.1887175048</v>
      </c>
    </row>
    <row r="45" customFormat="false" ht="15" hidden="false" customHeight="false" outlineLevel="0" collapsed="false">
      <c r="A45" s="3" t="s">
        <v>255</v>
      </c>
      <c r="B45" s="60" t="n">
        <f aca="false">'Monthly PL Y1 Y2'!Y54</f>
        <v>166492</v>
      </c>
      <c r="C45" s="60" t="n">
        <f aca="false">'Monthly PL Y1 Y2'!Y55</f>
        <v>30768.0584126984</v>
      </c>
      <c r="D45" s="60" t="n">
        <f aca="false">'Cash Flow and Working Capital'!Y33</f>
        <v>45474.3235256227</v>
      </c>
      <c r="E45" s="60" t="n">
        <f aca="false">IF(22='Cash Flow and Working Capital'!$C$47,D45,0)</f>
        <v>0</v>
      </c>
      <c r="F45" s="60" t="n">
        <f aca="false">'Cash Flow and Working Capital'!$C$43</f>
        <v>-96319.1887175048</v>
      </c>
    </row>
    <row r="46" customFormat="false" ht="15" hidden="false" customHeight="false" outlineLevel="0" collapsed="false">
      <c r="A46" s="3" t="s">
        <v>256</v>
      </c>
      <c r="B46" s="60" t="n">
        <f aca="false">'Monthly PL Y1 Y2'!Z54</f>
        <v>171028</v>
      </c>
      <c r="C46" s="60" t="n">
        <f aca="false">'Monthly PL Y1 Y2'!Z55</f>
        <v>31678.3584126984</v>
      </c>
      <c r="D46" s="60" t="n">
        <f aca="false">'Cash Flow and Working Capital'!Z33</f>
        <v>57333.9050664597</v>
      </c>
      <c r="E46" s="60" t="n">
        <f aca="false">IF(23='Cash Flow and Working Capital'!$C$47,D46,0)</f>
        <v>0</v>
      </c>
      <c r="F46" s="60" t="n">
        <f aca="false">'Cash Flow and Working Capital'!$C$43</f>
        <v>-96319.1887175048</v>
      </c>
    </row>
    <row r="47" customFormat="false" ht="15" hidden="false" customHeight="false" outlineLevel="0" collapsed="false">
      <c r="A47" s="3" t="s">
        <v>257</v>
      </c>
      <c r="B47" s="60" t="n">
        <f aca="false">'Monthly PL Y1 Y2'!AA54</f>
        <v>175564</v>
      </c>
      <c r="C47" s="60" t="n">
        <f aca="false">'Monthly PL Y1 Y2'!AA55</f>
        <v>32588.6584126984</v>
      </c>
      <c r="D47" s="60" t="n">
        <f aca="false">'Cash Flow and Working Capital'!AA33</f>
        <v>70495.7016149112</v>
      </c>
      <c r="E47" s="60" t="n">
        <f aca="false">IF(24='Cash Flow and Working Capital'!$C$47,D47,0)</f>
        <v>0</v>
      </c>
      <c r="F47" s="60" t="n">
        <f aca="false">'Cash Flow and Working Capital'!$C$43</f>
        <v>-96319.1887175048</v>
      </c>
    </row>
    <row r="49" customFormat="false" ht="15" hidden="false" customHeight="false" outlineLevel="0" collapsed="false">
      <c r="A49" s="14" t="s">
        <v>750</v>
      </c>
      <c r="B49" s="14" t="s">
        <v>446</v>
      </c>
      <c r="C49" s="14" t="s">
        <v>447</v>
      </c>
      <c r="D49" s="14" t="s">
        <v>512</v>
      </c>
      <c r="E49" s="14" t="s">
        <v>513</v>
      </c>
      <c r="F49" s="14" t="s">
        <v>514</v>
      </c>
    </row>
    <row r="50" customFormat="false" ht="15" hidden="false" customHeight="false" outlineLevel="0" collapsed="false">
      <c r="A50" s="3" t="s">
        <v>523</v>
      </c>
      <c r="B50" s="60" t="n">
        <f aca="false">'Annual PL Y1 to Y5'!C15</f>
        <v>494340</v>
      </c>
      <c r="C50" s="60" t="n">
        <f aca="false">'Annual PL Y1 to Y5'!D15</f>
        <v>1528800</v>
      </c>
      <c r="D50" s="60" t="n">
        <f aca="false">'Annual PL Y1 to Y5'!E15</f>
        <v>1965180.672</v>
      </c>
      <c r="E50" s="60" t="n">
        <f aca="false">'Annual PL Y1 to Y5'!F15</f>
        <v>2263888.134144</v>
      </c>
      <c r="F50" s="60" t="n">
        <f aca="false">'Annual PL Y1 to Y5'!G15</f>
        <v>2434132.52183163</v>
      </c>
    </row>
    <row r="51" customFormat="false" ht="15" hidden="false" customHeight="false" outlineLevel="0" collapsed="false">
      <c r="A51" s="3" t="s">
        <v>751</v>
      </c>
      <c r="B51" s="60" t="n">
        <f aca="false">'Annual PL Y1 to Y5'!C24</f>
        <v>0</v>
      </c>
      <c r="C51" s="60" t="n">
        <f aca="false">'Annual PL Y1 to Y5'!D24</f>
        <v>122304</v>
      </c>
      <c r="D51" s="60" t="n">
        <f aca="false">'Annual PL Y1 to Y5'!E24</f>
        <v>196518.0672</v>
      </c>
      <c r="E51" s="60" t="n">
        <f aca="false">'Annual PL Y1 to Y5'!F24</f>
        <v>271666.57609728</v>
      </c>
      <c r="F51" s="60" t="n">
        <f aca="false">'Annual PL Y1 to Y5'!G24</f>
        <v>292095.902619796</v>
      </c>
    </row>
    <row r="52" customFormat="false" ht="15" hidden="false" customHeight="false" outlineLevel="0" collapsed="false">
      <c r="A52" s="3" t="s">
        <v>530</v>
      </c>
      <c r="B52" s="60" t="n">
        <f aca="false">'Annual PL Y1 to Y5'!C33</f>
        <v>0</v>
      </c>
      <c r="C52" s="60" t="n">
        <f aca="false">'Annual PL Y1 to Y5'!D33</f>
        <v>120000</v>
      </c>
      <c r="D52" s="60" t="n">
        <f aca="false">'Annual PL Y1 to Y5'!E33</f>
        <v>350000</v>
      </c>
      <c r="E52" s="60" t="n">
        <f aca="false">'Annual PL Y1 to Y5'!F33</f>
        <v>600000</v>
      </c>
      <c r="F52" s="60" t="n">
        <f aca="false">'Annual PL Y1 to Y5'!G33</f>
        <v>850000</v>
      </c>
    </row>
    <row r="53" customFormat="false" ht="15" hidden="false" customHeight="false" outlineLevel="0" collapsed="false">
      <c r="A53" s="3" t="s">
        <v>531</v>
      </c>
      <c r="B53" s="60" t="n">
        <f aca="false">'Annual PL Y1 to Y5'!C42</f>
        <v>0</v>
      </c>
      <c r="C53" s="60" t="n">
        <f aca="false">'Annual PL Y1 to Y5'!D42</f>
        <v>0</v>
      </c>
      <c r="D53" s="60" t="n">
        <f aca="false">'Annual PL Y1 to Y5'!E42</f>
        <v>100000</v>
      </c>
      <c r="E53" s="60" t="n">
        <f aca="false">'Annual PL Y1 to Y5'!F42</f>
        <v>250000</v>
      </c>
      <c r="F53" s="60" t="n">
        <f aca="false">'Annual PL Y1 to Y5'!G42</f>
        <v>400000</v>
      </c>
    </row>
    <row r="54" customFormat="false" ht="15" hidden="false" customHeight="false" outlineLevel="0" collapsed="false">
      <c r="A54" s="3" t="s">
        <v>532</v>
      </c>
      <c r="B54" s="60" t="n">
        <f aca="false">'Annual PL Y1 to Y5'!C51</f>
        <v>0</v>
      </c>
      <c r="C54" s="60" t="n">
        <f aca="false">'Annual PL Y1 to Y5'!D51</f>
        <v>0</v>
      </c>
      <c r="D54" s="60" t="n">
        <f aca="false">'Annual PL Y1 to Y5'!E51</f>
        <v>0</v>
      </c>
      <c r="E54" s="60" t="n">
        <f aca="false">'Annual PL Y1 to Y5'!F51</f>
        <v>120000</v>
      </c>
      <c r="F54" s="60" t="n">
        <f aca="false">'Annual PL Y1 to Y5'!G51</f>
        <v>250000</v>
      </c>
    </row>
    <row r="55" customFormat="false" ht="15" hidden="false" customHeight="false" outlineLevel="0" collapsed="false">
      <c r="A55" s="3" t="s">
        <v>752</v>
      </c>
      <c r="B55" s="60" t="n">
        <f aca="false">'Annual PL Y1 to Y5'!C60</f>
        <v>0</v>
      </c>
      <c r="C55" s="60" t="n">
        <f aca="false">'Annual PL Y1 to Y5'!D60</f>
        <v>0</v>
      </c>
      <c r="D55" s="60" t="n">
        <f aca="false">'Annual PL Y1 to Y5'!E60</f>
        <v>0</v>
      </c>
      <c r="E55" s="60" t="n">
        <f aca="false">'Annual PL Y1 to Y5'!F60</f>
        <v>150000</v>
      </c>
      <c r="F55" s="60" t="n">
        <f aca="false">'Annual PL Y1 to Y5'!G60</f>
        <v>350000</v>
      </c>
    </row>
    <row r="57" customFormat="false" ht="15" hidden="false" customHeight="false" outlineLevel="0" collapsed="false">
      <c r="A57" s="14" t="s">
        <v>753</v>
      </c>
      <c r="B57" s="14" t="s">
        <v>732</v>
      </c>
      <c r="C57" s="14" t="s">
        <v>733</v>
      </c>
    </row>
    <row r="58" customFormat="false" ht="15" hidden="false" customHeight="false" outlineLevel="0" collapsed="false">
      <c r="A58" s="7" t="str">
        <f aca="false">Sensitivity!A48</f>
        <v>Factory cost (FOB)</v>
      </c>
      <c r="B58" s="60" t="n">
        <f aca="false">Sensitivity!H48</f>
        <v>-1958155.02100686</v>
      </c>
      <c r="C58" s="60" t="n">
        <f aca="false">Sensitivity!I48</f>
        <v>119216.015160292</v>
      </c>
    </row>
    <row r="59" customFormat="false" ht="15" hidden="false" customHeight="false" outlineLevel="0" collapsed="false">
      <c r="A59" s="7" t="str">
        <f aca="false">Sensitivity!A49</f>
        <v>Duty rate</v>
      </c>
      <c r="B59" s="60" t="n">
        <f aca="false">Sensitivity!H49</f>
        <v>-85093.5154605937</v>
      </c>
      <c r="C59" s="60" t="n">
        <f aca="false">Sensitivity!I49</f>
        <v>234858.102671239</v>
      </c>
    </row>
    <row r="60" customFormat="false" ht="15" hidden="false" customHeight="false" outlineLevel="0" collapsed="false">
      <c r="A60" s="7" t="str">
        <f aca="false">Sensitivity!A50</f>
        <v>ASP</v>
      </c>
      <c r="B60" s="60" t="n">
        <f aca="false">Sensitivity!H50</f>
        <v>-150501.937005113</v>
      </c>
      <c r="C60" s="60" t="n">
        <f aca="false">Sensitivity!I50</f>
        <v>150501.937005113</v>
      </c>
    </row>
    <row r="61" customFormat="false" ht="15" hidden="false" customHeight="false" outlineLevel="0" collapsed="false">
      <c r="A61" s="7" t="str">
        <f aca="false">Sensitivity!A51</f>
        <v>Ad spend</v>
      </c>
      <c r="B61" s="60" t="n">
        <f aca="false">Sensitivity!H51</f>
        <v>-137286.852733543</v>
      </c>
      <c r="C61" s="60" t="n">
        <f aca="false">Sensitivity!I51</f>
        <v>137286.852733543</v>
      </c>
    </row>
    <row r="62" customFormat="false" ht="15" hidden="false" customHeight="false" outlineLevel="0" collapsed="false">
      <c r="A62" s="7" t="str">
        <f aca="false">Sensitivity!A52</f>
        <v>FX (KRW per USD)</v>
      </c>
      <c r="B62" s="60" t="n">
        <f aca="false">Sensitivity!H52</f>
        <v>-85093.5154605939</v>
      </c>
      <c r="C62" s="60" t="n">
        <f aca="false">Sensitivity!I52</f>
        <v>65878.8506791693</v>
      </c>
    </row>
    <row r="63" customFormat="false" ht="15" hidden="false" customHeight="false" outlineLevel="0" collapsed="false">
      <c r="A63" s="7" t="str">
        <f aca="false">Sensitivity!A53</f>
        <v>Return rate</v>
      </c>
      <c r="B63" s="60" t="n">
        <f aca="false">Sensitivity!H53</f>
        <v>-114405.710611286</v>
      </c>
      <c r="C63" s="60" t="n">
        <f aca="false">Sensitivity!I53</f>
        <v>22881.1421222572</v>
      </c>
    </row>
    <row r="65" customFormat="false" ht="15" hidden="false" customHeight="false" outlineLevel="0" collapsed="false">
      <c r="A65" s="14" t="s">
        <v>754</v>
      </c>
      <c r="B65" s="14" t="s">
        <v>426</v>
      </c>
      <c r="C65" s="14" t="s">
        <v>755</v>
      </c>
    </row>
    <row r="66" customFormat="false" ht="15" hidden="false" customHeight="false" outlineLevel="0" collapsed="false">
      <c r="A66" s="7" t="str">
        <f aca="false">'Landed Cost &amp; Tariff Scenarios'!E31</f>
        <v>Copper net</v>
      </c>
      <c r="B66" s="35" t="n">
        <f aca="false">'Landed Cost &amp; Tariff Scenarios'!F31</f>
        <v>0</v>
      </c>
      <c r="C66" s="35" t="n">
        <f aca="false">'Landed Cost &amp; Tariff Scenarios'!G31</f>
        <v>7.997</v>
      </c>
    </row>
    <row r="67" customFormat="false" ht="15" hidden="false" customHeight="false" outlineLevel="0" collapsed="false">
      <c r="A67" s="7" t="str">
        <f aca="false">'Landed Cost &amp; Tariff Scenarios'!E32</f>
        <v>Fiber ruling uplift</v>
      </c>
      <c r="B67" s="35" t="n">
        <f aca="false">'Landed Cost &amp; Tariff Scenarios'!F32</f>
        <v>7.997</v>
      </c>
      <c r="C67" s="35" t="n">
        <f aca="false">'Landed Cost &amp; Tariff Scenarios'!G32</f>
        <v>2.036686993007</v>
      </c>
    </row>
    <row r="68" customFormat="false" ht="15" hidden="false" customHeight="false" outlineLevel="0" collapsed="false">
      <c r="A68" s="7" t="str">
        <f aca="false">'Landed Cost &amp; Tariff Scenarios'!E33</f>
        <v>Fiber net</v>
      </c>
      <c r="B68" s="35" t="n">
        <f aca="false">'Landed Cost &amp; Tariff Scenarios'!F33</f>
        <v>0</v>
      </c>
      <c r="C68" s="35" t="n">
        <f aca="false">'Landed Cost &amp; Tariff Scenarios'!G33</f>
        <v>10.033686993007</v>
      </c>
    </row>
    <row r="69" customFormat="false" ht="15" hidden="false" customHeight="false" outlineLevel="0" collapsed="false">
      <c r="A69" s="7" t="str">
        <f aca="false">'Landed Cost &amp; Tariff Scenarios'!E34</f>
        <v>Stress penalty</v>
      </c>
      <c r="B69" s="35" t="n">
        <f aca="false">'Landed Cost &amp; Tariff Scenarios'!F34</f>
        <v>7.25906993006993</v>
      </c>
      <c r="C69" s="35" t="n">
        <f aca="false">'Landed Cost &amp; Tariff Scenarios'!G34</f>
        <v>0.737930069930069</v>
      </c>
    </row>
    <row r="70" customFormat="false" ht="15" hidden="false" customHeight="false" outlineLevel="0" collapsed="false">
      <c r="A70" s="7" t="str">
        <f aca="false">'Landed Cost &amp; Tariff Scenarios'!E35</f>
        <v>Stress net</v>
      </c>
      <c r="B70" s="35" t="n">
        <f aca="false">'Landed Cost &amp; Tariff Scenarios'!F35</f>
        <v>0</v>
      </c>
      <c r="C70" s="35" t="n">
        <f aca="false">'Landed Cost &amp; Tariff Scenarios'!G35</f>
        <v>7.25906993006993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6"/>
    <col collapsed="false" customWidth="true" hidden="false" outlineLevel="0" max="3" min="3" style="1" width="36"/>
    <col collapsed="false" customWidth="true" hidden="false" outlineLevel="0" max="4" min="4" style="1" width="18"/>
    <col collapsed="false" customWidth="true" hidden="false" outlineLevel="0" max="5" min="5" style="1" width="30"/>
    <col collapsed="false" customWidth="true" hidden="false" outlineLevel="0" max="6" min="6" style="1" width="14"/>
    <col collapsed="false" customWidth="true" hidden="false" outlineLevel="0" max="7" min="7" style="1" width="22"/>
    <col collapsed="false" customWidth="true" hidden="false" outlineLevel="0" max="8" min="8" style="1" width="60"/>
    <col collapsed="false" customWidth="true" hidden="false" outlineLevel="0" max="9" min="9" style="1" width="20"/>
    <col collapsed="false" customWidth="true" hidden="false" outlineLevel="0" max="10" min="10" style="1" width="90"/>
  </cols>
  <sheetData>
    <row r="1" customFormat="false" ht="17.35" hidden="false" customHeight="false" outlineLevel="0" collapsed="false">
      <c r="A1" s="11" t="s">
        <v>756</v>
      </c>
    </row>
    <row r="2" customFormat="false" ht="15" hidden="false" customHeight="false" outlineLevel="0" collapsed="false">
      <c r="A2" s="4" t="s">
        <v>757</v>
      </c>
    </row>
    <row r="4" customFormat="false" ht="15" hidden="false" customHeight="false" outlineLevel="0" collapsed="false">
      <c r="A4" s="14" t="s">
        <v>758</v>
      </c>
      <c r="B4" s="14" t="s">
        <v>759</v>
      </c>
      <c r="C4" s="14" t="s">
        <v>760</v>
      </c>
      <c r="D4" s="14" t="s">
        <v>761</v>
      </c>
      <c r="E4" s="14" t="s">
        <v>762</v>
      </c>
      <c r="F4" s="14" t="s">
        <v>763</v>
      </c>
      <c r="G4" s="14" t="s">
        <v>764</v>
      </c>
      <c r="H4" s="14" t="s">
        <v>765</v>
      </c>
      <c r="I4" s="14" t="s">
        <v>766</v>
      </c>
      <c r="J4" s="14" t="s">
        <v>767</v>
      </c>
    </row>
    <row r="5" customFormat="false" ht="15" hidden="false" customHeight="false" outlineLevel="0" collapsed="false">
      <c r="A5" s="30" t="n">
        <v>1</v>
      </c>
      <c r="B5" s="3" t="s">
        <v>768</v>
      </c>
      <c r="C5" s="3" t="s">
        <v>769</v>
      </c>
      <c r="D5" s="54" t="n">
        <f aca="false">'Landed Cost &amp; Tariff Scenarios'!$B$23</f>
        <v>0.38</v>
      </c>
      <c r="E5" s="54" t="n">
        <f aca="false">'Landed Cost &amp; Tariff Scenarios'!$C$23</f>
        <v>0.334730229095199</v>
      </c>
      <c r="F5" s="3" t="s">
        <v>770</v>
      </c>
      <c r="G5" s="3" t="s">
        <v>771</v>
      </c>
      <c r="H5" s="3" t="s">
        <v>772</v>
      </c>
      <c r="I5" s="61" t="n">
        <f aca="false">('Landed Cost &amp; Tariff Scenarios'!$B$23-'Landed Cost &amp; Tariff Scenarios'!$C$23)*'Scenario Summary'!$C$344</f>
        <v>52799.9445971055</v>
      </c>
      <c r="J5" s="3" t="s">
        <v>773</v>
      </c>
    </row>
    <row r="6" customFormat="false" ht="15" hidden="false" customHeight="false" outlineLevel="0" collapsed="false">
      <c r="A6" s="30" t="n">
        <v>2</v>
      </c>
      <c r="B6" s="3" t="s">
        <v>774</v>
      </c>
      <c r="C6" s="3" t="s">
        <v>775</v>
      </c>
      <c r="D6" s="35" t="n">
        <f aca="false">'SKU Unit Economics'!$B$19</f>
        <v>8.5</v>
      </c>
      <c r="E6" s="35" t="n">
        <f aca="false">'SKU Unit Economics'!$B$20</f>
        <v>1.1</v>
      </c>
      <c r="F6" s="3" t="s">
        <v>776</v>
      </c>
      <c r="G6" s="3" t="s">
        <v>777</v>
      </c>
      <c r="H6" s="3" t="s">
        <v>778</v>
      </c>
      <c r="I6" s="61" t="n">
        <f aca="false">('SKU Unit Economics'!$J$6-'SKU Unit Economics'!$K$6)*'Scenario Summary'!$C$350</f>
        <v>41946.25176</v>
      </c>
      <c r="J6" s="3" t="s">
        <v>779</v>
      </c>
    </row>
    <row r="7" customFormat="false" ht="15" hidden="false" customHeight="false" outlineLevel="0" collapsed="false">
      <c r="A7" s="30" t="n">
        <v>3</v>
      </c>
      <c r="B7" s="3" t="s">
        <v>780</v>
      </c>
      <c r="C7" s="3" t="s">
        <v>713</v>
      </c>
      <c r="D7" s="54" t="n">
        <f aca="false">Assumptions!$D$12</f>
        <v>0.03</v>
      </c>
      <c r="E7" s="54" t="n">
        <f aca="false">Assumptions!$D$31</f>
        <v>0.025</v>
      </c>
      <c r="F7" s="3" t="s">
        <v>781</v>
      </c>
      <c r="G7" s="3" t="s">
        <v>777</v>
      </c>
      <c r="H7" s="3" t="s">
        <v>782</v>
      </c>
      <c r="I7" s="61" t="n">
        <f aca="false">(Assumptions!$D$12-Assumptions!$D$31)*'Scenario Summary'!$C$344</f>
        <v>5831.7</v>
      </c>
      <c r="J7" s="3" t="s">
        <v>783</v>
      </c>
    </row>
    <row r="8" customFormat="false" ht="15" hidden="false" customHeight="false" outlineLevel="0" collapsed="false">
      <c r="A8" s="30" t="n">
        <v>4</v>
      </c>
      <c r="B8" s="3" t="s">
        <v>784</v>
      </c>
      <c r="C8" s="3" t="s">
        <v>785</v>
      </c>
      <c r="D8" s="3" t="s">
        <v>786</v>
      </c>
      <c r="E8" s="3" t="s">
        <v>787</v>
      </c>
      <c r="F8" s="3" t="s">
        <v>788</v>
      </c>
      <c r="G8" s="3" t="s">
        <v>777</v>
      </c>
      <c r="H8" s="3" t="s">
        <v>789</v>
      </c>
      <c r="I8" s="61" t="n">
        <f aca="false">0.02*'Scenario Summary'!$C$344</f>
        <v>23326.8</v>
      </c>
      <c r="J8" s="3" t="s">
        <v>790</v>
      </c>
    </row>
    <row r="9" customFormat="false" ht="15" hidden="false" customHeight="false" outlineLevel="0" collapsed="false">
      <c r="A9" s="30" t="n">
        <v>5</v>
      </c>
      <c r="B9" s="3" t="s">
        <v>791</v>
      </c>
      <c r="C9" s="3" t="s">
        <v>792</v>
      </c>
      <c r="D9" s="3" t="s">
        <v>793</v>
      </c>
      <c r="E9" s="3" t="s">
        <v>794</v>
      </c>
      <c r="F9" s="3" t="s">
        <v>795</v>
      </c>
      <c r="G9" s="3" t="s">
        <v>777</v>
      </c>
      <c r="H9" s="3" t="s">
        <v>796</v>
      </c>
      <c r="I9" s="61" t="n">
        <f aca="false">0.1*SUM('Scenario Summary'!$D$300:$U$300)</f>
        <v>17854</v>
      </c>
      <c r="J9" s="3" t="s">
        <v>797</v>
      </c>
    </row>
    <row r="10" customFormat="false" ht="15" hidden="false" customHeight="false" outlineLevel="0" collapsed="false">
      <c r="A10" s="30" t="n">
        <v>6</v>
      </c>
      <c r="B10" s="3" t="s">
        <v>798</v>
      </c>
      <c r="C10" s="3" t="s">
        <v>799</v>
      </c>
      <c r="D10" s="3" t="s">
        <v>800</v>
      </c>
      <c r="E10" s="3" t="s">
        <v>801</v>
      </c>
      <c r="F10" s="3" t="s">
        <v>795</v>
      </c>
      <c r="G10" s="3" t="s">
        <v>777</v>
      </c>
      <c r="H10" s="3" t="s">
        <v>802</v>
      </c>
      <c r="I10" s="38" t="s">
        <v>803</v>
      </c>
      <c r="J10" s="3" t="s">
        <v>804</v>
      </c>
    </row>
    <row r="11" customFormat="false" ht="15" hidden="false" customHeight="false" outlineLevel="0" collapsed="false">
      <c r="A11" s="30" t="n">
        <v>7</v>
      </c>
      <c r="B11" s="3" t="s">
        <v>805</v>
      </c>
      <c r="C11" s="3" t="s">
        <v>806</v>
      </c>
      <c r="D11" s="3" t="s">
        <v>807</v>
      </c>
      <c r="E11" s="3" t="s">
        <v>808</v>
      </c>
      <c r="F11" s="3" t="s">
        <v>809</v>
      </c>
      <c r="G11" s="3" t="s">
        <v>80</v>
      </c>
      <c r="H11" s="3" t="s">
        <v>810</v>
      </c>
      <c r="I11" s="61" t="n">
        <f aca="false">0.05*HeroFobShare*(1+DutyRateCopper)*'Scenario Summary'!$C$344</f>
        <v>13400.8555037219</v>
      </c>
      <c r="J11" s="3" t="s">
        <v>811</v>
      </c>
    </row>
    <row r="12" customFormat="false" ht="15" hidden="false" customHeight="false" outlineLevel="0" collapsed="false">
      <c r="A12" s="30" t="n">
        <v>8</v>
      </c>
      <c r="B12" s="3" t="s">
        <v>812</v>
      </c>
      <c r="C12" s="3" t="s">
        <v>813</v>
      </c>
      <c r="D12" s="35" t="n">
        <f aca="false">Assumptions!$D$20</f>
        <v>5.5</v>
      </c>
      <c r="E12" s="16" t="n">
        <v>4.75</v>
      </c>
      <c r="F12" s="3" t="s">
        <v>781</v>
      </c>
      <c r="G12" s="3" t="s">
        <v>80</v>
      </c>
      <c r="H12" s="3" t="s">
        <v>814</v>
      </c>
      <c r="I12" s="61" t="n">
        <f aca="false">(Assumptions!$D$20-E12)*'Scenario Summary'!$C$350</f>
        <v>20827.5</v>
      </c>
      <c r="J12" s="3" t="s">
        <v>815</v>
      </c>
    </row>
    <row r="13" customFormat="false" ht="15" hidden="false" customHeight="false" outlineLevel="0" collapsed="false">
      <c r="A13" s="30" t="n">
        <v>9</v>
      </c>
      <c r="B13" s="3" t="s">
        <v>816</v>
      </c>
      <c r="C13" s="3" t="s">
        <v>817</v>
      </c>
      <c r="D13" s="54" t="n">
        <f aca="false">Assumptions!$D$21</f>
        <v>0.02</v>
      </c>
      <c r="E13" s="18" t="n">
        <v>0.015</v>
      </c>
      <c r="F13" s="3" t="s">
        <v>818</v>
      </c>
      <c r="G13" s="3" t="s">
        <v>80</v>
      </c>
      <c r="H13" s="3" t="s">
        <v>819</v>
      </c>
      <c r="I13" s="61" t="n">
        <f aca="false">(Assumptions!$D$21-E13)*'Scenario Summary'!$C$344</f>
        <v>5831.7</v>
      </c>
      <c r="J13" s="3" t="s">
        <v>820</v>
      </c>
    </row>
    <row r="14" customFormat="false" ht="15" hidden="false" customHeight="false" outlineLevel="0" collapsed="false">
      <c r="A14" s="30" t="n">
        <v>10</v>
      </c>
      <c r="B14" s="3" t="s">
        <v>821</v>
      </c>
      <c r="C14" s="3" t="s">
        <v>453</v>
      </c>
      <c r="D14" s="35" t="n">
        <f aca="false">Assumptions!$D$10</f>
        <v>42</v>
      </c>
      <c r="E14" s="40" t="s">
        <v>822</v>
      </c>
      <c r="F14" s="3" t="s">
        <v>795</v>
      </c>
      <c r="G14" s="3" t="s">
        <v>80</v>
      </c>
      <c r="H14" s="3" t="s">
        <v>823</v>
      </c>
      <c r="I14" s="61" t="n">
        <f aca="false">0.05*('Scenario Summary'!$C$344-(SUM('Scenario Summary'!$D$294:$U$294)+SUM('Scenario Summary'!$D$295:$U$295)+SUM('Scenario Summary'!$D$297:$U$297)+SUM('Scenario Summary'!$D$298:$U$298)+SUM('Scenario Summary'!$D$299:$U$299)))</f>
        <v>16563.75</v>
      </c>
      <c r="J14" s="3" t="s">
        <v>824</v>
      </c>
    </row>
    <row r="15" customFormat="false" ht="15" hidden="false" customHeight="false" outlineLevel="0" collapsed="false">
      <c r="A15" s="30" t="n">
        <v>11</v>
      </c>
      <c r="B15" s="3" t="s">
        <v>825</v>
      </c>
      <c r="C15" s="3" t="s">
        <v>826</v>
      </c>
      <c r="D15" s="38" t="n">
        <f aca="false">0</f>
        <v>0</v>
      </c>
      <c r="E15" s="60" t="n">
        <f aca="false">Assumptions!$D$57</f>
        <v>100000</v>
      </c>
      <c r="F15" s="3" t="s">
        <v>795</v>
      </c>
      <c r="G15" s="3" t="s">
        <v>80</v>
      </c>
      <c r="H15" s="3" t="s">
        <v>827</v>
      </c>
      <c r="I15" s="61" t="n">
        <f aca="false">'Scenario Summary'!$E$400</f>
        <v>16012.8679303437</v>
      </c>
      <c r="J15" s="3" t="s">
        <v>828</v>
      </c>
    </row>
    <row r="16" customFormat="false" ht="15" hidden="false" customHeight="false" outlineLevel="0" collapsed="false">
      <c r="A16" s="30" t="n">
        <v>12</v>
      </c>
      <c r="B16" s="3" t="s">
        <v>829</v>
      </c>
      <c r="C16" s="3" t="s">
        <v>830</v>
      </c>
      <c r="D16" s="38" t="n">
        <f aca="false">0</f>
        <v>0</v>
      </c>
      <c r="E16" s="60" t="n">
        <f aca="false">Assumptions!$D$53</f>
        <v>120000</v>
      </c>
      <c r="F16" s="3" t="s">
        <v>831</v>
      </c>
      <c r="G16" s="3" t="s">
        <v>80</v>
      </c>
      <c r="H16" s="3" t="s">
        <v>832</v>
      </c>
      <c r="I16" s="61" t="n">
        <f aca="false">'Scenario Summary'!$D$391</f>
        <v>14452.380952381</v>
      </c>
      <c r="J16" s="3" t="s">
        <v>833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4" min="2" style="1" width="16"/>
    <col collapsed="false" customWidth="true" hidden="false" outlineLevel="0" max="5" min="5" style="1" width="12"/>
    <col collapsed="false" customWidth="true" hidden="false" outlineLevel="0" max="33" min="6" style="1" width="11"/>
  </cols>
  <sheetData>
    <row r="1" customFormat="false" ht="17.35" hidden="false" customHeight="false" outlineLevel="0" collapsed="false">
      <c r="A1" s="11" t="s">
        <v>834</v>
      </c>
    </row>
    <row r="2" customFormat="false" ht="15" hidden="false" customHeight="false" outlineLevel="0" collapsed="false">
      <c r="A2" s="4" t="s">
        <v>835</v>
      </c>
    </row>
    <row r="3" customFormat="false" ht="15" hidden="false" customHeight="false" outlineLevel="0" collapsed="false">
      <c r="A3" s="4" t="s">
        <v>836</v>
      </c>
    </row>
    <row r="5" customFormat="false" ht="15" hidden="false" customHeight="false" outlineLevel="0" collapsed="false">
      <c r="A5" s="14" t="s">
        <v>643</v>
      </c>
      <c r="B5" s="14" t="s">
        <v>54</v>
      </c>
      <c r="C5" s="14" t="s">
        <v>55</v>
      </c>
      <c r="D5" s="14" t="s">
        <v>56</v>
      </c>
      <c r="E5" s="14" t="s">
        <v>53</v>
      </c>
    </row>
    <row r="6" customFormat="false" ht="15" hidden="false" customHeight="false" outlineLevel="0" collapsed="false">
      <c r="A6" s="3" t="s">
        <v>681</v>
      </c>
      <c r="B6" s="63" t="n">
        <f aca="false">C102</f>
        <v>633156</v>
      </c>
      <c r="C6" s="63" t="n">
        <f aca="false">C344</f>
        <v>1166340</v>
      </c>
      <c r="D6" s="63" t="n">
        <f aca="false">C586</f>
        <v>1851021</v>
      </c>
      <c r="E6" s="3" t="s">
        <v>62</v>
      </c>
    </row>
    <row r="7" customFormat="false" ht="15" hidden="false" customHeight="false" outlineLevel="0" collapsed="false">
      <c r="A7" s="3" t="s">
        <v>682</v>
      </c>
      <c r="B7" s="63" t="n">
        <f aca="false">C103</f>
        <v>-19636.1</v>
      </c>
      <c r="C7" s="63" t="n">
        <f aca="false">C345</f>
        <v>153020.18</v>
      </c>
      <c r="D7" s="63" t="n">
        <f aca="false">C587</f>
        <v>447155.245</v>
      </c>
      <c r="E7" s="3" t="s">
        <v>62</v>
      </c>
    </row>
    <row r="8" customFormat="false" ht="15" hidden="false" customHeight="false" outlineLevel="0" collapsed="false">
      <c r="A8" s="3" t="s">
        <v>502</v>
      </c>
      <c r="B8" s="56" t="n">
        <f aca="false">C104</f>
        <v>-0.0310130520756338</v>
      </c>
      <c r="C8" s="56" t="n">
        <f aca="false">C346</f>
        <v>0.13119688941475</v>
      </c>
      <c r="D8" s="56" t="n">
        <f aca="false">C588</f>
        <v>0.241572216090471</v>
      </c>
      <c r="E8" s="3" t="s">
        <v>66</v>
      </c>
    </row>
    <row r="9" customFormat="false" ht="15" hidden="false" customHeight="false" outlineLevel="0" collapsed="false">
      <c r="A9" s="3" t="s">
        <v>837</v>
      </c>
      <c r="B9" s="64" t="str">
        <f aca="false">C105</f>
        <v>none</v>
      </c>
      <c r="C9" s="64" t="n">
        <f aca="false">C347</f>
        <v>8</v>
      </c>
      <c r="D9" s="64" t="n">
        <f aca="false">C589</f>
        <v>5</v>
      </c>
      <c r="E9" s="3" t="s">
        <v>90</v>
      </c>
    </row>
    <row r="10" customFormat="false" ht="15" hidden="false" customHeight="false" outlineLevel="0" collapsed="false">
      <c r="A10" s="3" t="s">
        <v>739</v>
      </c>
      <c r="B10" s="63" t="n">
        <f aca="false">C106</f>
        <v>834480</v>
      </c>
      <c r="C10" s="63" t="n">
        <f aca="false">C348</f>
        <v>1537200</v>
      </c>
      <c r="D10" s="63" t="n">
        <f aca="false">C590</f>
        <v>2439648</v>
      </c>
      <c r="E10" s="3" t="s">
        <v>62</v>
      </c>
    </row>
    <row r="11" customFormat="false" ht="15" hidden="false" customHeight="false" outlineLevel="0" collapsed="false">
      <c r="A11" s="3" t="s">
        <v>740</v>
      </c>
      <c r="B11" s="56" t="n">
        <f aca="false">C107</f>
        <v>0.0224649122807018</v>
      </c>
      <c r="C11" s="56" t="n">
        <f aca="false">C349</f>
        <v>0.1721</v>
      </c>
      <c r="D11" s="56" t="n">
        <f aca="false">C591</f>
        <v>0.272715391728643</v>
      </c>
      <c r="E11" s="3" t="s">
        <v>66</v>
      </c>
    </row>
    <row r="12" customFormat="false" ht="15" hidden="false" customHeight="false" outlineLevel="0" collapsed="false">
      <c r="A12" s="3" t="s">
        <v>506</v>
      </c>
      <c r="B12" s="65" t="n">
        <f aca="false">C108</f>
        <v>16662</v>
      </c>
      <c r="C12" s="65" t="n">
        <f aca="false">C350</f>
        <v>27770</v>
      </c>
      <c r="D12" s="65" t="n">
        <f aca="false">C592</f>
        <v>43047</v>
      </c>
      <c r="E12" s="3" t="s">
        <v>95</v>
      </c>
    </row>
    <row r="13" customFormat="false" ht="15" hidden="false" customHeight="false" outlineLevel="0" collapsed="false">
      <c r="A13" s="3" t="s">
        <v>838</v>
      </c>
      <c r="B13" s="63" t="n">
        <f aca="false">C179</f>
        <v>268356</v>
      </c>
      <c r="C13" s="63" t="n">
        <f aca="false">C421</f>
        <v>494340</v>
      </c>
      <c r="D13" s="63" t="n">
        <f aca="false">C663</f>
        <v>784535</v>
      </c>
      <c r="E13" s="3" t="s">
        <v>62</v>
      </c>
    </row>
    <row r="14" customFormat="false" ht="15" hidden="false" customHeight="false" outlineLevel="0" collapsed="false">
      <c r="A14" s="3" t="s">
        <v>839</v>
      </c>
      <c r="B14" s="63" t="n">
        <f aca="false">C190</f>
        <v>-27160.16</v>
      </c>
      <c r="C14" s="63" t="n">
        <f aca="false">C432</f>
        <v>38040.12</v>
      </c>
      <c r="D14" s="63" t="n">
        <f aca="false">C674</f>
        <v>156979.355</v>
      </c>
      <c r="E14" s="3" t="s">
        <v>62</v>
      </c>
    </row>
    <row r="15" customFormat="false" ht="15" hidden="false" customHeight="false" outlineLevel="0" collapsed="false">
      <c r="A15" s="3" t="s">
        <v>840</v>
      </c>
      <c r="B15" s="63" t="n">
        <f aca="false">D179</f>
        <v>641824.56</v>
      </c>
      <c r="C15" s="63" t="n">
        <f aca="false">D421</f>
        <v>1771104</v>
      </c>
      <c r="D15" s="63" t="n">
        <f aca="false">D663</f>
        <v>2841253.2</v>
      </c>
      <c r="E15" s="3" t="s">
        <v>62</v>
      </c>
    </row>
    <row r="16" customFormat="false" ht="15" hidden="false" customHeight="false" outlineLevel="0" collapsed="false">
      <c r="A16" s="3" t="s">
        <v>841</v>
      </c>
      <c r="B16" s="63" t="n">
        <f aca="false">D190</f>
        <v>13602.9866</v>
      </c>
      <c r="C16" s="63" t="n">
        <f aca="false">D432</f>
        <v>317055.300952381</v>
      </c>
      <c r="D16" s="63" t="n">
        <f aca="false">D674</f>
        <v>759085.125106977</v>
      </c>
      <c r="E16" s="3" t="s">
        <v>62</v>
      </c>
    </row>
    <row r="17" customFormat="false" ht="15" hidden="false" customHeight="false" outlineLevel="0" collapsed="false">
      <c r="A17" s="3" t="s">
        <v>842</v>
      </c>
      <c r="B17" s="63" t="n">
        <f aca="false">E179</f>
        <v>737766.73536</v>
      </c>
      <c r="C17" s="63" t="n">
        <f aca="false">E421</f>
        <v>2611698.7392</v>
      </c>
      <c r="D17" s="63" t="n">
        <f aca="false">E663</f>
        <v>4416474.399165</v>
      </c>
      <c r="E17" s="3" t="s">
        <v>62</v>
      </c>
    </row>
    <row r="18" customFormat="false" ht="15" hidden="false" customHeight="false" outlineLevel="0" collapsed="false">
      <c r="A18" s="3" t="s">
        <v>843</v>
      </c>
      <c r="B18" s="63" t="n">
        <f aca="false">E190</f>
        <v>35684.6301338982</v>
      </c>
      <c r="C18" s="63" t="n">
        <f aca="false">E432</f>
        <v>426207.558621376</v>
      </c>
      <c r="D18" s="63" t="n">
        <f aca="false">E674</f>
        <v>1133101.62452019</v>
      </c>
      <c r="E18" s="3" t="s">
        <v>62</v>
      </c>
    </row>
    <row r="19" customFormat="false" ht="15" hidden="false" customHeight="false" outlineLevel="0" collapsed="false">
      <c r="A19" s="3" t="s">
        <v>844</v>
      </c>
      <c r="B19" s="63" t="n">
        <f aca="false">F179</f>
        <v>762708.551221248</v>
      </c>
      <c r="C19" s="63" t="n">
        <f aca="false">F421</f>
        <v>3655554.71024128</v>
      </c>
      <c r="D19" s="63" t="n">
        <f aca="false">F663</f>
        <v>6468356.5764237</v>
      </c>
      <c r="E19" s="3" t="s">
        <v>62</v>
      </c>
    </row>
    <row r="20" customFormat="false" ht="15" hidden="false" customHeight="false" outlineLevel="0" collapsed="false">
      <c r="A20" s="3" t="s">
        <v>845</v>
      </c>
      <c r="B20" s="63" t="n">
        <f aca="false">F190</f>
        <v>25953.1418199603</v>
      </c>
      <c r="C20" s="63" t="n">
        <f aca="false">F432</f>
        <v>540707.58083153</v>
      </c>
      <c r="D20" s="63" t="n">
        <f aca="false">F674</f>
        <v>1557531.67807319</v>
      </c>
      <c r="E20" s="3" t="s">
        <v>62</v>
      </c>
    </row>
    <row r="21" customFormat="false" ht="15" hidden="false" customHeight="false" outlineLevel="0" collapsed="false">
      <c r="A21" s="3" t="s">
        <v>846</v>
      </c>
      <c r="B21" s="63" t="n">
        <f aca="false">G179</f>
        <v>768330.219631018</v>
      </c>
      <c r="C21" s="63" t="n">
        <f aca="false">G421</f>
        <v>4576228.42445143</v>
      </c>
      <c r="D21" s="63" t="n">
        <f aca="false">G663</f>
        <v>8296603.76100064</v>
      </c>
      <c r="E21" s="3" t="s">
        <v>62</v>
      </c>
    </row>
    <row r="22" customFormat="false" ht="15" hidden="false" customHeight="false" outlineLevel="0" collapsed="false">
      <c r="A22" s="3" t="s">
        <v>688</v>
      </c>
      <c r="B22" s="63" t="n">
        <f aca="false">G190</f>
        <v>-2460.90589029198</v>
      </c>
      <c r="C22" s="63" t="n">
        <f aca="false">G432</f>
        <v>612714.567622496</v>
      </c>
      <c r="D22" s="63" t="n">
        <f aca="false">G674</f>
        <v>1838289.82358973</v>
      </c>
      <c r="E22" s="3" t="s">
        <v>62</v>
      </c>
    </row>
    <row r="23" customFormat="false" ht="15" hidden="false" customHeight="false" outlineLevel="0" collapsed="false">
      <c r="A23" s="3" t="s">
        <v>741</v>
      </c>
      <c r="B23" s="56" t="n">
        <f aca="false">G191</f>
        <v>-0.00320292737082996</v>
      </c>
      <c r="C23" s="56" t="n">
        <f aca="false">G433</f>
        <v>0.133890730704935</v>
      </c>
      <c r="D23" s="56" t="n">
        <f aca="false">G675</f>
        <v>0.221571365409889</v>
      </c>
      <c r="E23" s="3" t="s">
        <v>66</v>
      </c>
    </row>
    <row r="24" customFormat="false" ht="15" hidden="false" customHeight="false" outlineLevel="0" collapsed="false">
      <c r="A24" s="3" t="s">
        <v>847</v>
      </c>
      <c r="B24" s="63" t="n">
        <f aca="false">G125</f>
        <v>655861.314473165</v>
      </c>
      <c r="C24" s="63" t="n">
        <f aca="false">G367</f>
        <v>2434132.52183163</v>
      </c>
      <c r="D24" s="63" t="n">
        <f aca="false">G609</f>
        <v>4434467.64375057</v>
      </c>
      <c r="E24" s="3" t="s">
        <v>62</v>
      </c>
    </row>
    <row r="25" customFormat="false" ht="15" hidden="false" customHeight="false" outlineLevel="0" collapsed="false">
      <c r="A25" s="3" t="s">
        <v>742</v>
      </c>
      <c r="B25" s="63" t="n">
        <f aca="false">C244</f>
        <v>113736.205492308</v>
      </c>
      <c r="C25" s="63" t="n">
        <f aca="false">C486</f>
        <v>96319.1887175048</v>
      </c>
      <c r="D25" s="63" t="n">
        <f aca="false">C728</f>
        <v>34098.5858438228</v>
      </c>
      <c r="E25" s="3" t="s">
        <v>62</v>
      </c>
    </row>
    <row r="26" customFormat="false" ht="15" hidden="false" customHeight="false" outlineLevel="0" collapsed="false">
      <c r="A26" s="3" t="s">
        <v>593</v>
      </c>
      <c r="B26" s="64" t="n">
        <f aca="false">C243</f>
        <v>24</v>
      </c>
      <c r="C26" s="64" t="n">
        <f aca="false">C485</f>
        <v>12</v>
      </c>
      <c r="D26" s="64" t="n">
        <f aca="false">C727</f>
        <v>7</v>
      </c>
      <c r="E26" s="3" t="s">
        <v>90</v>
      </c>
    </row>
    <row r="27" customFormat="false" ht="15" hidden="false" customHeight="false" outlineLevel="0" collapsed="false">
      <c r="A27" s="3" t="s">
        <v>592</v>
      </c>
      <c r="B27" s="8" t="str">
        <f aca="false">C242</f>
        <v>Month 24</v>
      </c>
      <c r="C27" s="8" t="str">
        <f aca="false">C484</f>
        <v>Month 12</v>
      </c>
      <c r="D27" s="8" t="str">
        <f aca="false">C726</f>
        <v>Month 7</v>
      </c>
      <c r="E27" s="3"/>
    </row>
    <row r="28" customFormat="false" ht="15" hidden="false" customHeight="false" outlineLevel="0" collapsed="false">
      <c r="A28" s="3" t="s">
        <v>848</v>
      </c>
      <c r="B28" s="63" t="n">
        <f aca="false">C241</f>
        <v>-113736.205492308</v>
      </c>
      <c r="C28" s="63" t="n">
        <f aca="false">C483</f>
        <v>-96319.1887175048</v>
      </c>
      <c r="D28" s="63" t="n">
        <f aca="false">C725</f>
        <v>-34098.5858438228</v>
      </c>
      <c r="E28" s="3" t="s">
        <v>62</v>
      </c>
    </row>
    <row r="29" customFormat="false" ht="15" hidden="false" customHeight="false" outlineLevel="0" collapsed="false">
      <c r="A29" s="3" t="s">
        <v>743</v>
      </c>
      <c r="B29" s="63" t="n">
        <f aca="false">C245</f>
        <v>136483.446590769</v>
      </c>
      <c r="C29" s="63" t="n">
        <f aca="false">C487</f>
        <v>115583.026461006</v>
      </c>
      <c r="D29" s="63" t="n">
        <f aca="false">C729</f>
        <v>40918.3030125874</v>
      </c>
      <c r="E29" s="3" t="s">
        <v>62</v>
      </c>
    </row>
    <row r="30" customFormat="false" ht="15" hidden="false" customHeight="false" outlineLevel="0" collapsed="false">
      <c r="A30" s="3" t="s">
        <v>623</v>
      </c>
      <c r="B30" s="64" t="n">
        <f aca="false">C246</f>
        <v>2</v>
      </c>
      <c r="C30" s="64" t="n">
        <f aca="false">C488</f>
        <v>2</v>
      </c>
      <c r="D30" s="64" t="n">
        <f aca="false">C730</f>
        <v>1</v>
      </c>
      <c r="E30" s="3" t="s">
        <v>90</v>
      </c>
    </row>
    <row r="31" customFormat="false" ht="15" hidden="false" customHeight="false" outlineLevel="0" collapsed="false">
      <c r="A31" s="3" t="s">
        <v>849</v>
      </c>
      <c r="B31" s="68" t="n">
        <f aca="false">C251</f>
        <v>15.2612472007374</v>
      </c>
      <c r="C31" s="68" t="n">
        <f aca="false">C493</f>
        <v>10.2019696927165</v>
      </c>
      <c r="D31" s="68" t="n">
        <f aca="false">C735</f>
        <v>4.03983719928056</v>
      </c>
      <c r="E31" s="3" t="s">
        <v>186</v>
      </c>
    </row>
    <row r="32" customFormat="false" ht="15" hidden="false" customHeight="false" outlineLevel="0" collapsed="false">
      <c r="A32" s="3" t="s">
        <v>850</v>
      </c>
      <c r="B32" s="8" t="str">
        <f aca="false">B275</f>
        <v>REVIEW</v>
      </c>
      <c r="C32" s="8" t="str">
        <f aca="false">B517</f>
        <v>PASS</v>
      </c>
      <c r="D32" s="8" t="str">
        <f aca="false">B759</f>
        <v>PASS</v>
      </c>
      <c r="E32" s="3"/>
    </row>
    <row r="33" customFormat="false" ht="15" hidden="false" customHeight="false" outlineLevel="0" collapsed="false">
      <c r="A33" s="3" t="s">
        <v>851</v>
      </c>
      <c r="B33" s="8" t="str">
        <f aca="false">B283</f>
        <v>KILL</v>
      </c>
      <c r="C33" s="8" t="str">
        <f aca="false">B525</f>
        <v>PASS</v>
      </c>
      <c r="D33" s="8" t="str">
        <f aca="false">B767</f>
        <v>PASS</v>
      </c>
      <c r="E33" s="3"/>
    </row>
    <row r="45" customFormat="false" ht="15" hidden="false" customHeight="false" outlineLevel="0" collapsed="false">
      <c r="A45" s="5" t="s">
        <v>852</v>
      </c>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customFormat="false" ht="15" hidden="false" customHeight="false" outlineLevel="0" collapsed="false">
      <c r="A46" s="14" t="s">
        <v>444</v>
      </c>
      <c r="B46" s="14" t="s">
        <v>53</v>
      </c>
      <c r="C46" s="14" t="s">
        <v>445</v>
      </c>
      <c r="D46" s="14" t="s">
        <v>232</v>
      </c>
      <c r="E46" s="14" t="s">
        <v>234</v>
      </c>
      <c r="F46" s="14" t="s">
        <v>235</v>
      </c>
      <c r="G46" s="14" t="s">
        <v>236</v>
      </c>
      <c r="H46" s="14" t="s">
        <v>237</v>
      </c>
      <c r="I46" s="14" t="s">
        <v>238</v>
      </c>
      <c r="J46" s="14" t="s">
        <v>239</v>
      </c>
      <c r="K46" s="14" t="s">
        <v>240</v>
      </c>
      <c r="L46" s="14" t="s">
        <v>241</v>
      </c>
      <c r="M46" s="14" t="s">
        <v>242</v>
      </c>
      <c r="N46" s="14" t="s">
        <v>243</v>
      </c>
      <c r="O46" s="14" t="s">
        <v>244</v>
      </c>
      <c r="P46" s="14" t="s">
        <v>245</v>
      </c>
      <c r="Q46" s="14" t="s">
        <v>246</v>
      </c>
      <c r="R46" s="14" t="s">
        <v>247</v>
      </c>
      <c r="S46" s="14" t="s">
        <v>248</v>
      </c>
      <c r="T46" s="14" t="s">
        <v>249</v>
      </c>
      <c r="U46" s="14" t="s">
        <v>250</v>
      </c>
      <c r="V46" s="14" t="s">
        <v>251</v>
      </c>
      <c r="W46" s="14" t="s">
        <v>253</v>
      </c>
      <c r="X46" s="14" t="s">
        <v>254</v>
      </c>
      <c r="Y46" s="14" t="s">
        <v>255</v>
      </c>
      <c r="Z46" s="14" t="s">
        <v>256</v>
      </c>
      <c r="AA46" s="14" t="s">
        <v>257</v>
      </c>
      <c r="AB46" s="14" t="s">
        <v>446</v>
      </c>
      <c r="AC46" s="14" t="s">
        <v>447</v>
      </c>
    </row>
    <row r="47" customFormat="false" ht="15" hidden="false" customHeight="false" outlineLevel="0" collapsed="false">
      <c r="A47" s="3" t="s">
        <v>448</v>
      </c>
      <c r="C47" s="30" t="n">
        <v>0</v>
      </c>
      <c r="D47" s="30" t="n">
        <v>1</v>
      </c>
      <c r="E47" s="30" t="n">
        <v>2</v>
      </c>
      <c r="F47" s="30" t="n">
        <v>3</v>
      </c>
      <c r="G47" s="30" t="n">
        <v>4</v>
      </c>
      <c r="H47" s="30" t="n">
        <v>5</v>
      </c>
      <c r="I47" s="30" t="n">
        <v>6</v>
      </c>
      <c r="J47" s="30" t="n">
        <v>7</v>
      </c>
      <c r="K47" s="30" t="n">
        <v>8</v>
      </c>
      <c r="L47" s="30" t="n">
        <v>9</v>
      </c>
      <c r="M47" s="30" t="n">
        <v>10</v>
      </c>
      <c r="N47" s="30" t="n">
        <v>11</v>
      </c>
      <c r="O47" s="30" t="n">
        <v>12</v>
      </c>
      <c r="P47" s="30" t="n">
        <v>13</v>
      </c>
      <c r="Q47" s="30" t="n">
        <v>14</v>
      </c>
      <c r="R47" s="30" t="n">
        <v>15</v>
      </c>
      <c r="S47" s="30" t="n">
        <v>16</v>
      </c>
      <c r="T47" s="30" t="n">
        <v>17</v>
      </c>
      <c r="U47" s="30" t="n">
        <v>18</v>
      </c>
      <c r="V47" s="30" t="n">
        <v>19</v>
      </c>
      <c r="W47" s="30" t="n">
        <v>20</v>
      </c>
      <c r="X47" s="30" t="n">
        <v>21</v>
      </c>
      <c r="Y47" s="30" t="n">
        <v>22</v>
      </c>
      <c r="Z47" s="30" t="n">
        <v>23</v>
      </c>
      <c r="AA47" s="30" t="n">
        <v>24</v>
      </c>
      <c r="AB47" s="4" t="s">
        <v>449</v>
      </c>
      <c r="AC47" s="4" t="s">
        <v>450</v>
      </c>
    </row>
    <row r="48" customFormat="false" ht="15" hidden="false" customHeight="false" outlineLevel="0" collapsed="false">
      <c r="A48" s="9" t="s">
        <v>451</v>
      </c>
    </row>
    <row r="49" customFormat="false" ht="15" hidden="false" customHeight="false" outlineLevel="0" collapsed="false">
      <c r="A49" s="9" t="s">
        <v>452</v>
      </c>
      <c r="B49" s="3" t="s">
        <v>95</v>
      </c>
      <c r="D49" s="59" t="n">
        <f aca="false">Assumptions!$C$137</f>
        <v>90</v>
      </c>
      <c r="E49" s="59" t="n">
        <f aca="false">Assumptions!$C$138</f>
        <v>144</v>
      </c>
      <c r="F49" s="59" t="n">
        <f aca="false">Assumptions!$C$139</f>
        <v>216</v>
      </c>
      <c r="G49" s="59" t="n">
        <f aca="false">Assumptions!$C$140</f>
        <v>300</v>
      </c>
      <c r="H49" s="59" t="n">
        <f aca="false">Assumptions!$C$141</f>
        <v>390</v>
      </c>
      <c r="I49" s="59" t="n">
        <f aca="false">Assumptions!$C$142</f>
        <v>492</v>
      </c>
      <c r="J49" s="59" t="n">
        <f aca="false">Assumptions!$C$143</f>
        <v>600</v>
      </c>
      <c r="K49" s="59" t="n">
        <f aca="false">Assumptions!$C$144</f>
        <v>720</v>
      </c>
      <c r="L49" s="59" t="n">
        <f aca="false">Assumptions!$C$145</f>
        <v>840</v>
      </c>
      <c r="M49" s="59" t="n">
        <f aca="false">Assumptions!$C$146</f>
        <v>960</v>
      </c>
      <c r="N49" s="59" t="n">
        <f aca="false">Assumptions!$C$147</f>
        <v>1080</v>
      </c>
      <c r="O49" s="59" t="n">
        <f aca="false">Assumptions!$C$148</f>
        <v>1230</v>
      </c>
      <c r="P49" s="59" t="n">
        <f aca="false">Assumptions!$C$149</f>
        <v>1350</v>
      </c>
      <c r="Q49" s="59" t="n">
        <f aca="false">Assumptions!$C$150</f>
        <v>1470</v>
      </c>
      <c r="R49" s="59" t="n">
        <f aca="false">Assumptions!$C$151</f>
        <v>1560</v>
      </c>
      <c r="S49" s="59" t="n">
        <f aca="false">Assumptions!$C$152</f>
        <v>1650</v>
      </c>
      <c r="T49" s="59" t="n">
        <f aca="false">Assumptions!$C$153</f>
        <v>1740</v>
      </c>
      <c r="U49" s="59" t="n">
        <f aca="false">Assumptions!$C$154</f>
        <v>1830</v>
      </c>
      <c r="V49" s="59" t="n">
        <f aca="false">Assumptions!$C$155</f>
        <v>183</v>
      </c>
      <c r="W49" s="59" t="n">
        <f aca="false">Assumptions!$C$156</f>
        <v>183</v>
      </c>
      <c r="X49" s="59" t="n">
        <f aca="false">Assumptions!$C$157</f>
        <v>183</v>
      </c>
      <c r="Y49" s="59" t="n">
        <f aca="false">Assumptions!$C$158</f>
        <v>1830</v>
      </c>
      <c r="Z49" s="59" t="n">
        <f aca="false">Assumptions!$C$159</f>
        <v>1830</v>
      </c>
      <c r="AA49" s="59" t="n">
        <f aca="false">Assumptions!$C$160</f>
        <v>1830</v>
      </c>
      <c r="AB49" s="24" t="n">
        <f aca="false">SUM(D49:O49)</f>
        <v>7062</v>
      </c>
      <c r="AC49" s="24" t="n">
        <f aca="false">SUM(P49:AA49)</f>
        <v>15639</v>
      </c>
    </row>
    <row r="50" customFormat="false" ht="15" hidden="false" customHeight="false" outlineLevel="0" collapsed="false">
      <c r="A50" s="3" t="s">
        <v>453</v>
      </c>
      <c r="B50" s="3" t="s">
        <v>454</v>
      </c>
      <c r="D50" s="35" t="n">
        <f aca="false">Assumptions!$C$10</f>
        <v>38</v>
      </c>
      <c r="E50" s="35" t="n">
        <f aca="false">Assumptions!$C$10</f>
        <v>38</v>
      </c>
      <c r="F50" s="35" t="n">
        <f aca="false">Assumptions!$C$10</f>
        <v>38</v>
      </c>
      <c r="G50" s="35" t="n">
        <f aca="false">Assumptions!$C$10</f>
        <v>38</v>
      </c>
      <c r="H50" s="35" t="n">
        <f aca="false">Assumptions!$C$10</f>
        <v>38</v>
      </c>
      <c r="I50" s="35" t="n">
        <f aca="false">Assumptions!$C$10</f>
        <v>38</v>
      </c>
      <c r="J50" s="35" t="n">
        <f aca="false">Assumptions!$C$10</f>
        <v>38</v>
      </c>
      <c r="K50" s="35" t="n">
        <f aca="false">Assumptions!$C$10</f>
        <v>38</v>
      </c>
      <c r="L50" s="35" t="n">
        <f aca="false">Assumptions!$C$10</f>
        <v>38</v>
      </c>
      <c r="M50" s="35" t="n">
        <f aca="false">Assumptions!$C$10</f>
        <v>38</v>
      </c>
      <c r="N50" s="35" t="n">
        <f aca="false">Assumptions!$C$10</f>
        <v>38</v>
      </c>
      <c r="O50" s="35" t="n">
        <f aca="false">Assumptions!$C$10</f>
        <v>38</v>
      </c>
      <c r="P50" s="35" t="n">
        <f aca="false">Assumptions!$C$10</f>
        <v>38</v>
      </c>
      <c r="Q50" s="35" t="n">
        <f aca="false">Assumptions!$C$10</f>
        <v>38</v>
      </c>
      <c r="R50" s="35" t="n">
        <f aca="false">Assumptions!$C$10</f>
        <v>38</v>
      </c>
      <c r="S50" s="35" t="n">
        <f aca="false">Assumptions!$C$10</f>
        <v>38</v>
      </c>
      <c r="T50" s="35" t="n">
        <f aca="false">Assumptions!$C$10</f>
        <v>38</v>
      </c>
      <c r="U50" s="35" t="n">
        <f aca="false">Assumptions!$C$10</f>
        <v>38</v>
      </c>
      <c r="V50" s="35" t="n">
        <f aca="false">Assumptions!$C$10</f>
        <v>38</v>
      </c>
      <c r="W50" s="35" t="n">
        <f aca="false">Assumptions!$C$10</f>
        <v>38</v>
      </c>
      <c r="X50" s="35" t="n">
        <f aca="false">Assumptions!$C$10</f>
        <v>38</v>
      </c>
      <c r="Y50" s="35" t="n">
        <f aca="false">Assumptions!$C$10</f>
        <v>38</v>
      </c>
      <c r="Z50" s="35" t="n">
        <f aca="false">Assumptions!$C$10</f>
        <v>38</v>
      </c>
      <c r="AA50" s="35" t="n">
        <f aca="false">Assumptions!$C$10</f>
        <v>38</v>
      </c>
      <c r="AB50" s="40" t="n">
        <f aca="false">IF(AB49=0,0,AB51/AB49)</f>
        <v>38</v>
      </c>
      <c r="AC50" s="40" t="n">
        <f aca="false">IF(AC49=0,0,AC51/AC49)</f>
        <v>38</v>
      </c>
    </row>
    <row r="51" customFormat="false" ht="15" hidden="false" customHeight="false" outlineLevel="0" collapsed="false">
      <c r="A51" s="9" t="s">
        <v>455</v>
      </c>
      <c r="B51" s="3" t="s">
        <v>62</v>
      </c>
      <c r="D51" s="29" t="n">
        <f aca="false">D49*D50</f>
        <v>3420</v>
      </c>
      <c r="E51" s="29" t="n">
        <f aca="false">E49*E50</f>
        <v>5472</v>
      </c>
      <c r="F51" s="29" t="n">
        <f aca="false">F49*F50</f>
        <v>8208</v>
      </c>
      <c r="G51" s="29" t="n">
        <f aca="false">G49*G50</f>
        <v>11400</v>
      </c>
      <c r="H51" s="29" t="n">
        <f aca="false">H49*H50</f>
        <v>14820</v>
      </c>
      <c r="I51" s="29" t="n">
        <f aca="false">I49*I50</f>
        <v>18696</v>
      </c>
      <c r="J51" s="29" t="n">
        <f aca="false">J49*J50</f>
        <v>22800</v>
      </c>
      <c r="K51" s="29" t="n">
        <f aca="false">K49*K50</f>
        <v>27360</v>
      </c>
      <c r="L51" s="29" t="n">
        <f aca="false">L49*L50</f>
        <v>31920</v>
      </c>
      <c r="M51" s="29" t="n">
        <f aca="false">M49*M50</f>
        <v>36480</v>
      </c>
      <c r="N51" s="29" t="n">
        <f aca="false">N49*N50</f>
        <v>41040</v>
      </c>
      <c r="O51" s="29" t="n">
        <f aca="false">O49*O50</f>
        <v>46740</v>
      </c>
      <c r="P51" s="29" t="n">
        <f aca="false">P49*P50</f>
        <v>51300</v>
      </c>
      <c r="Q51" s="29" t="n">
        <f aca="false">Q49*Q50</f>
        <v>55860</v>
      </c>
      <c r="R51" s="29" t="n">
        <f aca="false">R49*R50</f>
        <v>59280</v>
      </c>
      <c r="S51" s="29" t="n">
        <f aca="false">S49*S50</f>
        <v>62700</v>
      </c>
      <c r="T51" s="29" t="n">
        <f aca="false">T49*T50</f>
        <v>66120</v>
      </c>
      <c r="U51" s="29" t="n">
        <f aca="false">U49*U50</f>
        <v>69540</v>
      </c>
      <c r="V51" s="29" t="n">
        <f aca="false">V49*V50</f>
        <v>6954</v>
      </c>
      <c r="W51" s="29" t="n">
        <f aca="false">W49*W50</f>
        <v>6954</v>
      </c>
      <c r="X51" s="29" t="n">
        <f aca="false">X49*X50</f>
        <v>6954</v>
      </c>
      <c r="Y51" s="29" t="n">
        <f aca="false">Y49*Y50</f>
        <v>69540</v>
      </c>
      <c r="Z51" s="29" t="n">
        <f aca="false">Z49*Z50</f>
        <v>69540</v>
      </c>
      <c r="AA51" s="29" t="n">
        <f aca="false">AA49*AA50</f>
        <v>69540</v>
      </c>
      <c r="AB51" s="29" t="n">
        <f aca="false">SUM(D51:O51)</f>
        <v>268356</v>
      </c>
      <c r="AC51" s="29" t="n">
        <f aca="false">SUM(P51:AA51)</f>
        <v>594282</v>
      </c>
    </row>
    <row r="52" customFormat="false" ht="15" hidden="false" customHeight="false" outlineLevel="0" collapsed="false">
      <c r="A52" s="3" t="s">
        <v>456</v>
      </c>
      <c r="B52" s="3" t="s">
        <v>62</v>
      </c>
      <c r="D52" s="38" t="n">
        <f aca="false">D51*D72</f>
        <v>1470.6</v>
      </c>
      <c r="E52" s="38" t="n">
        <f aca="false">E51*E72</f>
        <v>2352.96</v>
      </c>
      <c r="F52" s="38" t="n">
        <f aca="false">F51*F72</f>
        <v>3529.44</v>
      </c>
      <c r="G52" s="38" t="n">
        <f aca="false">G51*G72</f>
        <v>4902</v>
      </c>
      <c r="H52" s="38" t="n">
        <f aca="false">H51*H72</f>
        <v>6372.6</v>
      </c>
      <c r="I52" s="38" t="n">
        <f aca="false">I51*I72</f>
        <v>8039.28</v>
      </c>
      <c r="J52" s="38" t="n">
        <f aca="false">J51*J72</f>
        <v>9804</v>
      </c>
      <c r="K52" s="38" t="n">
        <f aca="false">K51*K72</f>
        <v>11764.8</v>
      </c>
      <c r="L52" s="38" t="n">
        <f aca="false">L51*L72</f>
        <v>13725.6</v>
      </c>
      <c r="M52" s="38" t="n">
        <f aca="false">M51*M72</f>
        <v>15686.4</v>
      </c>
      <c r="N52" s="38" t="n">
        <f aca="false">N51*N72</f>
        <v>17647.2</v>
      </c>
      <c r="O52" s="38" t="n">
        <f aca="false">O51*O72</f>
        <v>20098.2</v>
      </c>
      <c r="P52" s="38" t="n">
        <f aca="false">P51*P72</f>
        <v>22059</v>
      </c>
      <c r="Q52" s="38" t="n">
        <f aca="false">Q51*Q72</f>
        <v>24019.8</v>
      </c>
      <c r="R52" s="38" t="n">
        <f aca="false">R51*R72</f>
        <v>25490.4</v>
      </c>
      <c r="S52" s="38" t="n">
        <f aca="false">S51*S72</f>
        <v>26961</v>
      </c>
      <c r="T52" s="38" t="n">
        <f aca="false">T51*T72</f>
        <v>28431.6</v>
      </c>
      <c r="U52" s="38" t="n">
        <f aca="false">U51*U72</f>
        <v>29902.2</v>
      </c>
      <c r="V52" s="38" t="n">
        <f aca="false">V51*V72</f>
        <v>2990.22</v>
      </c>
      <c r="W52" s="38" t="n">
        <f aca="false">W51*W72</f>
        <v>2990.22</v>
      </c>
      <c r="X52" s="38" t="n">
        <f aca="false">X51*X72</f>
        <v>2990.22</v>
      </c>
      <c r="Y52" s="38" t="n">
        <f aca="false">Y51*Y72</f>
        <v>29902.2</v>
      </c>
      <c r="Z52" s="38" t="n">
        <f aca="false">Z51*Z72</f>
        <v>29902.2</v>
      </c>
      <c r="AA52" s="38" t="n">
        <f aca="false">AA51*AA72</f>
        <v>29902.2</v>
      </c>
      <c r="AB52" s="38" t="n">
        <f aca="false">SUM(D52:O52)</f>
        <v>115393.08</v>
      </c>
      <c r="AC52" s="38" t="n">
        <f aca="false">SUM(P52:AA52)</f>
        <v>255541.26</v>
      </c>
    </row>
    <row r="53" customFormat="false" ht="15" hidden="false" customHeight="false" outlineLevel="0" collapsed="false">
      <c r="A53" s="3" t="s">
        <v>457</v>
      </c>
      <c r="B53" s="3" t="s">
        <v>62</v>
      </c>
      <c r="D53" s="60" t="n">
        <f aca="false">D51*Assumptions!$C$19</f>
        <v>513</v>
      </c>
      <c r="E53" s="60" t="n">
        <f aca="false">E51*Assumptions!$C$19</f>
        <v>820.8</v>
      </c>
      <c r="F53" s="60" t="n">
        <f aca="false">F51*Assumptions!$C$19</f>
        <v>1231.2</v>
      </c>
      <c r="G53" s="60" t="n">
        <f aca="false">G51*Assumptions!$C$19</f>
        <v>1710</v>
      </c>
      <c r="H53" s="60" t="n">
        <f aca="false">H51*Assumptions!$C$19</f>
        <v>2223</v>
      </c>
      <c r="I53" s="60" t="n">
        <f aca="false">I51*Assumptions!$C$19</f>
        <v>2804.4</v>
      </c>
      <c r="J53" s="60" t="n">
        <f aca="false">J51*Assumptions!$C$19</f>
        <v>3420</v>
      </c>
      <c r="K53" s="60" t="n">
        <f aca="false">K51*Assumptions!$C$19</f>
        <v>4104</v>
      </c>
      <c r="L53" s="60" t="n">
        <f aca="false">L51*Assumptions!$C$19</f>
        <v>4788</v>
      </c>
      <c r="M53" s="60" t="n">
        <f aca="false">M51*Assumptions!$C$19</f>
        <v>5472</v>
      </c>
      <c r="N53" s="60" t="n">
        <f aca="false">N51*Assumptions!$C$19</f>
        <v>6156</v>
      </c>
      <c r="O53" s="60" t="n">
        <f aca="false">O51*Assumptions!$C$19</f>
        <v>7011</v>
      </c>
      <c r="P53" s="60" t="n">
        <f aca="false">P51*Assumptions!$C$19</f>
        <v>7695</v>
      </c>
      <c r="Q53" s="60" t="n">
        <f aca="false">Q51*Assumptions!$C$19</f>
        <v>8379</v>
      </c>
      <c r="R53" s="60" t="n">
        <f aca="false">R51*Assumptions!$C$19</f>
        <v>8892</v>
      </c>
      <c r="S53" s="60" t="n">
        <f aca="false">S51*Assumptions!$C$19</f>
        <v>9405</v>
      </c>
      <c r="T53" s="60" t="n">
        <f aca="false">T51*Assumptions!$C$19</f>
        <v>9918</v>
      </c>
      <c r="U53" s="60" t="n">
        <f aca="false">U51*Assumptions!$C$19</f>
        <v>10431</v>
      </c>
      <c r="V53" s="60" t="n">
        <f aca="false">V51*Assumptions!$C$19</f>
        <v>1043.1</v>
      </c>
      <c r="W53" s="60" t="n">
        <f aca="false">W51*Assumptions!$C$19</f>
        <v>1043.1</v>
      </c>
      <c r="X53" s="60" t="n">
        <f aca="false">X51*Assumptions!$C$19</f>
        <v>1043.1</v>
      </c>
      <c r="Y53" s="60" t="n">
        <f aca="false">Y51*Assumptions!$C$19</f>
        <v>10431</v>
      </c>
      <c r="Z53" s="60" t="n">
        <f aca="false">Z51*Assumptions!$C$19</f>
        <v>10431</v>
      </c>
      <c r="AA53" s="60" t="n">
        <f aca="false">AA51*Assumptions!$C$19</f>
        <v>10431</v>
      </c>
      <c r="AB53" s="38" t="n">
        <f aca="false">SUM(D53:O53)</f>
        <v>40253.4</v>
      </c>
      <c r="AC53" s="38" t="n">
        <f aca="false">SUM(P53:AA53)</f>
        <v>89142.3</v>
      </c>
    </row>
    <row r="54" customFormat="false" ht="15" hidden="false" customHeight="false" outlineLevel="0" collapsed="false">
      <c r="A54" s="3" t="s">
        <v>367</v>
      </c>
      <c r="B54" s="3" t="s">
        <v>62</v>
      </c>
      <c r="D54" s="38" t="n">
        <f aca="false">D49*D73</f>
        <v>495</v>
      </c>
      <c r="E54" s="38" t="n">
        <f aca="false">E49*E73</f>
        <v>792</v>
      </c>
      <c r="F54" s="38" t="n">
        <f aca="false">F49*F73</f>
        <v>1188</v>
      </c>
      <c r="G54" s="38" t="n">
        <f aca="false">G49*G73</f>
        <v>1650</v>
      </c>
      <c r="H54" s="38" t="n">
        <f aca="false">H49*H73</f>
        <v>2145</v>
      </c>
      <c r="I54" s="38" t="n">
        <f aca="false">I49*I73</f>
        <v>2706</v>
      </c>
      <c r="J54" s="38" t="n">
        <f aca="false">J49*J73</f>
        <v>3300</v>
      </c>
      <c r="K54" s="38" t="n">
        <f aca="false">K49*K73</f>
        <v>3960</v>
      </c>
      <c r="L54" s="38" t="n">
        <f aca="false">L49*L73</f>
        <v>4620</v>
      </c>
      <c r="M54" s="38" t="n">
        <f aca="false">M49*M73</f>
        <v>5280</v>
      </c>
      <c r="N54" s="38" t="n">
        <f aca="false">N49*N73</f>
        <v>5940</v>
      </c>
      <c r="O54" s="38" t="n">
        <f aca="false">O49*O73</f>
        <v>6765</v>
      </c>
      <c r="P54" s="38" t="n">
        <f aca="false">P49*P73</f>
        <v>7425</v>
      </c>
      <c r="Q54" s="38" t="n">
        <f aca="false">Q49*Q73</f>
        <v>8085</v>
      </c>
      <c r="R54" s="38" t="n">
        <f aca="false">R49*R73</f>
        <v>8580</v>
      </c>
      <c r="S54" s="38" t="n">
        <f aca="false">S49*S73</f>
        <v>9075</v>
      </c>
      <c r="T54" s="38" t="n">
        <f aca="false">T49*T73</f>
        <v>9570</v>
      </c>
      <c r="U54" s="38" t="n">
        <f aca="false">U49*U73</f>
        <v>10065</v>
      </c>
      <c r="V54" s="38" t="n">
        <f aca="false">V49*V73</f>
        <v>1036.695</v>
      </c>
      <c r="W54" s="38" t="n">
        <f aca="false">W49*W73</f>
        <v>1036.695</v>
      </c>
      <c r="X54" s="38" t="n">
        <f aca="false">X49*X73</f>
        <v>1036.695</v>
      </c>
      <c r="Y54" s="38" t="n">
        <f aca="false">Y49*Y73</f>
        <v>10366.95</v>
      </c>
      <c r="Z54" s="38" t="n">
        <f aca="false">Z49*Z73</f>
        <v>10366.95</v>
      </c>
      <c r="AA54" s="38" t="n">
        <f aca="false">AA49*AA73</f>
        <v>10366.95</v>
      </c>
      <c r="AB54" s="38" t="n">
        <f aca="false">SUM(D54:O54)</f>
        <v>38841</v>
      </c>
      <c r="AC54" s="38" t="n">
        <f aca="false">SUM(P54:AA54)</f>
        <v>87010.935</v>
      </c>
    </row>
    <row r="55" customFormat="false" ht="15" hidden="false" customHeight="false" outlineLevel="0" collapsed="false">
      <c r="A55" s="3" t="s">
        <v>458</v>
      </c>
      <c r="B55" s="3" t="s">
        <v>62</v>
      </c>
      <c r="D55" s="38" t="n">
        <f aca="false">D51*D74</f>
        <v>136.8</v>
      </c>
      <c r="E55" s="38" t="n">
        <f aca="false">E51*E74</f>
        <v>218.88</v>
      </c>
      <c r="F55" s="38" t="n">
        <f aca="false">F51*F74</f>
        <v>328.32</v>
      </c>
      <c r="G55" s="38" t="n">
        <f aca="false">G51*G74</f>
        <v>456</v>
      </c>
      <c r="H55" s="38" t="n">
        <f aca="false">H51*H74</f>
        <v>592.8</v>
      </c>
      <c r="I55" s="38" t="n">
        <f aca="false">I51*I74</f>
        <v>747.84</v>
      </c>
      <c r="J55" s="38" t="n">
        <f aca="false">J51*J74</f>
        <v>912</v>
      </c>
      <c r="K55" s="38" t="n">
        <f aca="false">K51*K74</f>
        <v>1094.4</v>
      </c>
      <c r="L55" s="38" t="n">
        <f aca="false">L51*L74</f>
        <v>1276.8</v>
      </c>
      <c r="M55" s="38" t="n">
        <f aca="false">M51*M74</f>
        <v>1459.2</v>
      </c>
      <c r="N55" s="38" t="n">
        <f aca="false">N51*N74</f>
        <v>1641.6</v>
      </c>
      <c r="O55" s="38" t="n">
        <f aca="false">O51*O74</f>
        <v>1869.6</v>
      </c>
      <c r="P55" s="38" t="n">
        <f aca="false">P51*P74</f>
        <v>2052</v>
      </c>
      <c r="Q55" s="38" t="n">
        <f aca="false">Q51*Q74</f>
        <v>2234.4</v>
      </c>
      <c r="R55" s="38" t="n">
        <f aca="false">R51*R74</f>
        <v>2371.2</v>
      </c>
      <c r="S55" s="38" t="n">
        <f aca="false">S51*S74</f>
        <v>2508</v>
      </c>
      <c r="T55" s="38" t="n">
        <f aca="false">T51*T74</f>
        <v>2644.8</v>
      </c>
      <c r="U55" s="38" t="n">
        <f aca="false">U51*U74</f>
        <v>2781.6</v>
      </c>
      <c r="V55" s="38" t="n">
        <f aca="false">V51*V74</f>
        <v>278.16</v>
      </c>
      <c r="W55" s="38" t="n">
        <f aca="false">W51*W74</f>
        <v>278.16</v>
      </c>
      <c r="X55" s="38" t="n">
        <f aca="false">X51*X74</f>
        <v>278.16</v>
      </c>
      <c r="Y55" s="38" t="n">
        <f aca="false">Y51*Y74</f>
        <v>2781.6</v>
      </c>
      <c r="Z55" s="38" t="n">
        <f aca="false">Z51*Z74</f>
        <v>2781.6</v>
      </c>
      <c r="AA55" s="38" t="n">
        <f aca="false">AA51*AA74</f>
        <v>2781.6</v>
      </c>
      <c r="AB55" s="38" t="n">
        <f aca="false">SUM(D55:O55)</f>
        <v>10734.24</v>
      </c>
      <c r="AC55" s="38" t="n">
        <f aca="false">SUM(P55:AA55)</f>
        <v>23771.28</v>
      </c>
    </row>
    <row r="56" customFormat="false" ht="15" hidden="false" customHeight="false" outlineLevel="0" collapsed="false">
      <c r="A56" s="3" t="s">
        <v>459</v>
      </c>
      <c r="B56" s="3" t="s">
        <v>62</v>
      </c>
      <c r="D56" s="60" t="n">
        <f aca="false">D51*Assumptions!$C$21</f>
        <v>68.4</v>
      </c>
      <c r="E56" s="60" t="n">
        <f aca="false">E51*Assumptions!$C$21</f>
        <v>109.44</v>
      </c>
      <c r="F56" s="60" t="n">
        <f aca="false">F51*Assumptions!$C$21</f>
        <v>164.16</v>
      </c>
      <c r="G56" s="60" t="n">
        <f aca="false">G51*Assumptions!$C$21</f>
        <v>228</v>
      </c>
      <c r="H56" s="60" t="n">
        <f aca="false">H51*Assumptions!$C$21</f>
        <v>296.4</v>
      </c>
      <c r="I56" s="60" t="n">
        <f aca="false">I51*Assumptions!$C$21</f>
        <v>373.92</v>
      </c>
      <c r="J56" s="60" t="n">
        <f aca="false">J51*Assumptions!$C$21</f>
        <v>456</v>
      </c>
      <c r="K56" s="60" t="n">
        <f aca="false">K51*Assumptions!$C$21</f>
        <v>547.2</v>
      </c>
      <c r="L56" s="60" t="n">
        <f aca="false">L51*Assumptions!$C$21</f>
        <v>638.4</v>
      </c>
      <c r="M56" s="60" t="n">
        <f aca="false">M51*Assumptions!$C$21</f>
        <v>729.6</v>
      </c>
      <c r="N56" s="60" t="n">
        <f aca="false">N51*Assumptions!$C$21</f>
        <v>820.8</v>
      </c>
      <c r="O56" s="60" t="n">
        <f aca="false">O51*Assumptions!$C$21</f>
        <v>934.8</v>
      </c>
      <c r="P56" s="60" t="n">
        <f aca="false">P51*Assumptions!$C$21</f>
        <v>1026</v>
      </c>
      <c r="Q56" s="60" t="n">
        <f aca="false">Q51*Assumptions!$C$21</f>
        <v>1117.2</v>
      </c>
      <c r="R56" s="60" t="n">
        <f aca="false">R51*Assumptions!$C$21</f>
        <v>1185.6</v>
      </c>
      <c r="S56" s="60" t="n">
        <f aca="false">S51*Assumptions!$C$21</f>
        <v>1254</v>
      </c>
      <c r="T56" s="60" t="n">
        <f aca="false">T51*Assumptions!$C$21</f>
        <v>1322.4</v>
      </c>
      <c r="U56" s="60" t="n">
        <f aca="false">U51*Assumptions!$C$21</f>
        <v>1390.8</v>
      </c>
      <c r="V56" s="60" t="n">
        <f aca="false">V51*Assumptions!$C$21</f>
        <v>139.08</v>
      </c>
      <c r="W56" s="60" t="n">
        <f aca="false">W51*Assumptions!$C$21</f>
        <v>139.08</v>
      </c>
      <c r="X56" s="60" t="n">
        <f aca="false">X51*Assumptions!$C$21</f>
        <v>139.08</v>
      </c>
      <c r="Y56" s="60" t="n">
        <f aca="false">Y51*Assumptions!$C$21</f>
        <v>1390.8</v>
      </c>
      <c r="Z56" s="60" t="n">
        <f aca="false">Z51*Assumptions!$C$21</f>
        <v>1390.8</v>
      </c>
      <c r="AA56" s="60" t="n">
        <f aca="false">AA51*Assumptions!$C$21</f>
        <v>1390.8</v>
      </c>
      <c r="AB56" s="38" t="n">
        <f aca="false">SUM(D56:O56)</f>
        <v>5367.12</v>
      </c>
      <c r="AC56" s="38" t="n">
        <f aca="false">SUM(P56:AA56)</f>
        <v>11885.64</v>
      </c>
    </row>
    <row r="57" customFormat="false" ht="15" hidden="false" customHeight="false" outlineLevel="0" collapsed="false">
      <c r="A57" s="3" t="s">
        <v>369</v>
      </c>
      <c r="B57" s="3" t="s">
        <v>62</v>
      </c>
      <c r="D57" s="38" t="n">
        <f aca="false">D51*D75</f>
        <v>1265.4</v>
      </c>
      <c r="E57" s="38" t="n">
        <f aca="false">E51*E75</f>
        <v>2024.64</v>
      </c>
      <c r="F57" s="38" t="n">
        <f aca="false">F51*F75</f>
        <v>3036.96</v>
      </c>
      <c r="G57" s="38" t="n">
        <f aca="false">G51*G75</f>
        <v>3306</v>
      </c>
      <c r="H57" s="38" t="n">
        <f aca="false">H51*H75</f>
        <v>4297.8</v>
      </c>
      <c r="I57" s="38" t="n">
        <f aca="false">I51*I75</f>
        <v>5421.84</v>
      </c>
      <c r="J57" s="38" t="n">
        <f aca="false">J51*J75</f>
        <v>5016</v>
      </c>
      <c r="K57" s="38" t="n">
        <f aca="false">K51*K75</f>
        <v>6019.2</v>
      </c>
      <c r="L57" s="38" t="n">
        <f aca="false">L51*L75</f>
        <v>7022.4</v>
      </c>
      <c r="M57" s="38" t="n">
        <f aca="false">M51*M75</f>
        <v>8025.6</v>
      </c>
      <c r="N57" s="38" t="n">
        <f aca="false">N51*N75</f>
        <v>9028.8</v>
      </c>
      <c r="O57" s="38" t="n">
        <f aca="false">O51*O75</f>
        <v>10282.8</v>
      </c>
      <c r="P57" s="38" t="n">
        <f aca="false">P51*P75</f>
        <v>9234</v>
      </c>
      <c r="Q57" s="38" t="n">
        <f aca="false">Q51*Q75</f>
        <v>10054.8</v>
      </c>
      <c r="R57" s="38" t="n">
        <f aca="false">R51*R75</f>
        <v>10670.4</v>
      </c>
      <c r="S57" s="38" t="n">
        <f aca="false">S51*S75</f>
        <v>11286</v>
      </c>
      <c r="T57" s="38" t="n">
        <f aca="false">T51*T75</f>
        <v>11901.6</v>
      </c>
      <c r="U57" s="38" t="n">
        <f aca="false">U51*U75</f>
        <v>12517.2</v>
      </c>
      <c r="V57" s="38" t="n">
        <f aca="false">V51*V75</f>
        <v>1251.72</v>
      </c>
      <c r="W57" s="38" t="n">
        <f aca="false">W51*W75</f>
        <v>1251.72</v>
      </c>
      <c r="X57" s="38" t="n">
        <f aca="false">X51*X75</f>
        <v>1251.72</v>
      </c>
      <c r="Y57" s="38" t="n">
        <f aca="false">Y51*Y75</f>
        <v>12517.2</v>
      </c>
      <c r="Z57" s="38" t="n">
        <f aca="false">Z51*Z75</f>
        <v>12517.2</v>
      </c>
      <c r="AA57" s="38" t="n">
        <f aca="false">AA51*AA75</f>
        <v>12517.2</v>
      </c>
      <c r="AB57" s="38" t="n">
        <f aca="false">SUM(D57:O57)</f>
        <v>64747.44</v>
      </c>
      <c r="AC57" s="38" t="n">
        <f aca="false">SUM(P57:AA57)</f>
        <v>106970.76</v>
      </c>
    </row>
    <row r="58" customFormat="false" ht="15" hidden="false" customHeight="false" outlineLevel="0" collapsed="false">
      <c r="A58" s="9" t="s">
        <v>460</v>
      </c>
      <c r="B58" s="3" t="s">
        <v>62</v>
      </c>
      <c r="D58" s="29" t="n">
        <f aca="false">D51-D52-D53-D54-D55-D56-D57</f>
        <v>-529.2</v>
      </c>
      <c r="E58" s="29" t="n">
        <f aca="false">E51-E52-E53-E54-E55-E56-E57</f>
        <v>-846.72</v>
      </c>
      <c r="F58" s="29" t="n">
        <f aca="false">F51-F52-F53-F54-F55-F56-F57</f>
        <v>-1270.08</v>
      </c>
      <c r="G58" s="29" t="n">
        <f aca="false">G51-G52-G53-G54-G55-G56-G57</f>
        <v>-852</v>
      </c>
      <c r="H58" s="29" t="n">
        <f aca="false">H51-H52-H53-H54-H55-H56-H57</f>
        <v>-1107.6</v>
      </c>
      <c r="I58" s="29" t="n">
        <f aca="false">I51-I52-I53-I54-I55-I56-I57</f>
        <v>-1397.28</v>
      </c>
      <c r="J58" s="29" t="n">
        <f aca="false">J51-J52-J53-J54-J55-J56-J57</f>
        <v>-108</v>
      </c>
      <c r="K58" s="29" t="n">
        <f aca="false">K51-K52-K53-K54-K55-K56-K57</f>
        <v>-129.599999999999</v>
      </c>
      <c r="L58" s="29" t="n">
        <f aca="false">L51-L52-L53-L54-L55-L56-L57</f>
        <v>-151.199999999998</v>
      </c>
      <c r="M58" s="29" t="n">
        <f aca="false">M51-M52-M53-M54-M55-M56-M57</f>
        <v>-172.800000000003</v>
      </c>
      <c r="N58" s="29" t="n">
        <f aca="false">N51-N52-N53-N54-N55-N56-N57</f>
        <v>-194.4</v>
      </c>
      <c r="O58" s="29" t="n">
        <f aca="false">O51-O52-O53-O54-O55-O56-O57</f>
        <v>-221.4</v>
      </c>
      <c r="P58" s="29" t="n">
        <f aca="false">P51-P52-P53-P54-P55-P56-P57</f>
        <v>1809</v>
      </c>
      <c r="Q58" s="29" t="n">
        <f aca="false">Q51-Q52-Q53-Q54-Q55-Q56-Q57</f>
        <v>1969.8</v>
      </c>
      <c r="R58" s="29" t="n">
        <f aca="false">R51-R52-R53-R54-R55-R56-R57</f>
        <v>2090.40000000001</v>
      </c>
      <c r="S58" s="29" t="n">
        <f aca="false">S51-S52-S53-S54-S55-S56-S57</f>
        <v>2211</v>
      </c>
      <c r="T58" s="29" t="n">
        <f aca="false">T51-T52-T53-T54-T55-T56-T57</f>
        <v>2331.6</v>
      </c>
      <c r="U58" s="29" t="n">
        <f aca="false">U51-U52-U53-U54-U55-U56-U57</f>
        <v>2452.2</v>
      </c>
      <c r="V58" s="29" t="n">
        <f aca="false">V51-V52-V53-V54-V55-V56-V57</f>
        <v>215.025</v>
      </c>
      <c r="W58" s="29" t="n">
        <f aca="false">W51-W52-W53-W54-W55-W56-W57</f>
        <v>215.025</v>
      </c>
      <c r="X58" s="29" t="n">
        <f aca="false">X51-X52-X53-X54-X55-X56-X57</f>
        <v>215.025</v>
      </c>
      <c r="Y58" s="29" t="n">
        <f aca="false">Y51-Y52-Y53-Y54-Y55-Y56-Y57</f>
        <v>2150.25</v>
      </c>
      <c r="Z58" s="29" t="n">
        <f aca="false">Z51-Z52-Z53-Z54-Z55-Z56-Z57</f>
        <v>2150.25</v>
      </c>
      <c r="AA58" s="29" t="n">
        <f aca="false">AA51-AA52-AA53-AA54-AA55-AA56-AA57</f>
        <v>2150.25</v>
      </c>
      <c r="AB58" s="29" t="n">
        <f aca="false">SUM(D58:O58)</f>
        <v>-6980.28</v>
      </c>
      <c r="AC58" s="29" t="n">
        <f aca="false">SUM(P58:AA58)</f>
        <v>19959.825</v>
      </c>
    </row>
    <row r="59" customFormat="false" ht="15" hidden="false" customHeight="false" outlineLevel="0" collapsed="false">
      <c r="A59" s="3" t="s">
        <v>461</v>
      </c>
      <c r="B59" s="3" t="s">
        <v>62</v>
      </c>
      <c r="D59" s="60" t="n">
        <f aca="false">IF(D$47&gt;=Assumptions!$C$26,Assumptions!$C$45,Assumptions!$C$17)</f>
        <v>850</v>
      </c>
      <c r="E59" s="60" t="n">
        <f aca="false">IF(E$47&gt;=Assumptions!$C$26,Assumptions!$C$45,Assumptions!$C$17)</f>
        <v>850</v>
      </c>
      <c r="F59" s="60" t="n">
        <f aca="false">IF(F$47&gt;=Assumptions!$C$26,Assumptions!$C$45,Assumptions!$C$17)</f>
        <v>850</v>
      </c>
      <c r="G59" s="60" t="n">
        <f aca="false">IF(G$47&gt;=Assumptions!$C$26,Assumptions!$C$45,Assumptions!$C$17)</f>
        <v>850</v>
      </c>
      <c r="H59" s="60" t="n">
        <f aca="false">IF(H$47&gt;=Assumptions!$C$26,Assumptions!$C$45,Assumptions!$C$17)</f>
        <v>850</v>
      </c>
      <c r="I59" s="60" t="n">
        <f aca="false">IF(I$47&gt;=Assumptions!$C$26,Assumptions!$C$45,Assumptions!$C$17)</f>
        <v>850</v>
      </c>
      <c r="J59" s="60" t="n">
        <f aca="false">IF(J$47&gt;=Assumptions!$C$26,Assumptions!$C$45,Assumptions!$C$17)</f>
        <v>850</v>
      </c>
      <c r="K59" s="60" t="n">
        <f aca="false">IF(K$47&gt;=Assumptions!$C$26,Assumptions!$C$45,Assumptions!$C$17)</f>
        <v>850</v>
      </c>
      <c r="L59" s="60" t="n">
        <f aca="false">IF(L$47&gt;=Assumptions!$C$26,Assumptions!$C$45,Assumptions!$C$17)</f>
        <v>850</v>
      </c>
      <c r="M59" s="60" t="n">
        <f aca="false">IF(M$47&gt;=Assumptions!$C$26,Assumptions!$C$45,Assumptions!$C$17)</f>
        <v>850</v>
      </c>
      <c r="N59" s="60" t="n">
        <f aca="false">IF(N$47&gt;=Assumptions!$C$26,Assumptions!$C$45,Assumptions!$C$17)</f>
        <v>850</v>
      </c>
      <c r="O59" s="60" t="n">
        <f aca="false">IF(O$47&gt;=Assumptions!$C$26,Assumptions!$C$45,Assumptions!$C$17)</f>
        <v>850</v>
      </c>
      <c r="P59" s="60" t="n">
        <f aca="false">IF(P$47&gt;=Assumptions!$C$26,Assumptions!$C$45,Assumptions!$C$17)</f>
        <v>850</v>
      </c>
      <c r="Q59" s="60" t="n">
        <f aca="false">IF(Q$47&gt;=Assumptions!$C$26,Assumptions!$C$45,Assumptions!$C$17)</f>
        <v>850</v>
      </c>
      <c r="R59" s="60" t="n">
        <f aca="false">IF(R$47&gt;=Assumptions!$C$26,Assumptions!$C$45,Assumptions!$C$17)</f>
        <v>850</v>
      </c>
      <c r="S59" s="60" t="n">
        <f aca="false">IF(S$47&gt;=Assumptions!$C$26,Assumptions!$C$45,Assumptions!$C$17)</f>
        <v>850</v>
      </c>
      <c r="T59" s="60" t="n">
        <f aca="false">IF(T$47&gt;=Assumptions!$C$26,Assumptions!$C$45,Assumptions!$C$17)</f>
        <v>850</v>
      </c>
      <c r="U59" s="60" t="n">
        <f aca="false">IF(U$47&gt;=Assumptions!$C$26,Assumptions!$C$45,Assumptions!$C$17)</f>
        <v>850</v>
      </c>
      <c r="V59" s="60" t="n">
        <f aca="false">IF(V$47&gt;=Assumptions!$C$26,Assumptions!$C$45,Assumptions!$C$17)</f>
        <v>1200</v>
      </c>
      <c r="W59" s="60" t="n">
        <f aca="false">IF(W$47&gt;=Assumptions!$C$26,Assumptions!$C$45,Assumptions!$C$17)</f>
        <v>1200</v>
      </c>
      <c r="X59" s="60" t="n">
        <f aca="false">IF(X$47&gt;=Assumptions!$C$26,Assumptions!$C$45,Assumptions!$C$17)</f>
        <v>1200</v>
      </c>
      <c r="Y59" s="60" t="n">
        <f aca="false">IF(Y$47&gt;=Assumptions!$C$26,Assumptions!$C$45,Assumptions!$C$17)</f>
        <v>1200</v>
      </c>
      <c r="Z59" s="60" t="n">
        <f aca="false">IF(Z$47&gt;=Assumptions!$C$26,Assumptions!$C$45,Assumptions!$C$17)</f>
        <v>1200</v>
      </c>
      <c r="AA59" s="60" t="n">
        <f aca="false">IF(AA$47&gt;=Assumptions!$C$26,Assumptions!$C$45,Assumptions!$C$17)</f>
        <v>1200</v>
      </c>
      <c r="AB59" s="38" t="n">
        <f aca="false">SUM(D59:O59)</f>
        <v>10200</v>
      </c>
      <c r="AC59" s="38" t="n">
        <f aca="false">SUM(P59:AA59)</f>
        <v>12300</v>
      </c>
    </row>
    <row r="60" customFormat="false" ht="15" hidden="false" customHeight="false" outlineLevel="0" collapsed="false">
      <c r="A60" s="3" t="s">
        <v>462</v>
      </c>
      <c r="B60" s="3" t="s">
        <v>62</v>
      </c>
      <c r="D60" s="60" t="n">
        <f aca="false">Assumptions!$C$22</f>
        <v>39.99</v>
      </c>
      <c r="E60" s="60" t="n">
        <f aca="false">Assumptions!$C$22</f>
        <v>39.99</v>
      </c>
      <c r="F60" s="60" t="n">
        <f aca="false">Assumptions!$C$22</f>
        <v>39.99</v>
      </c>
      <c r="G60" s="60" t="n">
        <f aca="false">Assumptions!$C$22</f>
        <v>39.99</v>
      </c>
      <c r="H60" s="60" t="n">
        <f aca="false">Assumptions!$C$22</f>
        <v>39.99</v>
      </c>
      <c r="I60" s="60" t="n">
        <f aca="false">Assumptions!$C$22</f>
        <v>39.99</v>
      </c>
      <c r="J60" s="60" t="n">
        <f aca="false">Assumptions!$C$22</f>
        <v>39.99</v>
      </c>
      <c r="K60" s="60" t="n">
        <f aca="false">Assumptions!$C$22</f>
        <v>39.99</v>
      </c>
      <c r="L60" s="60" t="n">
        <f aca="false">Assumptions!$C$22</f>
        <v>39.99</v>
      </c>
      <c r="M60" s="60" t="n">
        <f aca="false">Assumptions!$C$22</f>
        <v>39.99</v>
      </c>
      <c r="N60" s="60" t="n">
        <f aca="false">Assumptions!$C$22</f>
        <v>39.99</v>
      </c>
      <c r="O60" s="60" t="n">
        <f aca="false">Assumptions!$C$22</f>
        <v>39.99</v>
      </c>
      <c r="P60" s="60" t="n">
        <f aca="false">Assumptions!$C$22</f>
        <v>39.99</v>
      </c>
      <c r="Q60" s="60" t="n">
        <f aca="false">Assumptions!$C$22</f>
        <v>39.99</v>
      </c>
      <c r="R60" s="60" t="n">
        <f aca="false">Assumptions!$C$22</f>
        <v>39.99</v>
      </c>
      <c r="S60" s="60" t="n">
        <f aca="false">Assumptions!$C$22</f>
        <v>39.99</v>
      </c>
      <c r="T60" s="60" t="n">
        <f aca="false">Assumptions!$C$22</f>
        <v>39.99</v>
      </c>
      <c r="U60" s="60" t="n">
        <f aca="false">Assumptions!$C$22</f>
        <v>39.99</v>
      </c>
      <c r="V60" s="60" t="n">
        <f aca="false">Assumptions!$C$22</f>
        <v>39.99</v>
      </c>
      <c r="W60" s="60" t="n">
        <f aca="false">Assumptions!$C$22</f>
        <v>39.99</v>
      </c>
      <c r="X60" s="60" t="n">
        <f aca="false">Assumptions!$C$22</f>
        <v>39.99</v>
      </c>
      <c r="Y60" s="60" t="n">
        <f aca="false">Assumptions!$C$22</f>
        <v>39.99</v>
      </c>
      <c r="Z60" s="60" t="n">
        <f aca="false">Assumptions!$C$22</f>
        <v>39.99</v>
      </c>
      <c r="AA60" s="60" t="n">
        <f aca="false">Assumptions!$C$22</f>
        <v>39.99</v>
      </c>
      <c r="AB60" s="38" t="n">
        <f aca="false">SUM(D60:O60)</f>
        <v>479.88</v>
      </c>
      <c r="AC60" s="38" t="n">
        <f aca="false">SUM(P60:AA60)</f>
        <v>479.88</v>
      </c>
    </row>
    <row r="61" customFormat="false" ht="15" hidden="false" customHeight="false" outlineLevel="0" collapsed="false">
      <c r="A61" s="3" t="s">
        <v>463</v>
      </c>
      <c r="B61" s="3" t="s">
        <v>62</v>
      </c>
      <c r="D61" s="60" t="n">
        <f aca="false">IF(D$47=1,Assumptions!$C$23,0)</f>
        <v>9500</v>
      </c>
      <c r="E61" s="60" t="n">
        <f aca="false">IF(E$47=1,Assumptions!$C$23,0)</f>
        <v>0</v>
      </c>
      <c r="F61" s="60" t="n">
        <f aca="false">IF(F$47=1,Assumptions!$C$23,0)</f>
        <v>0</v>
      </c>
      <c r="G61" s="60" t="n">
        <f aca="false">IF(G$47=1,Assumptions!$C$23,0)</f>
        <v>0</v>
      </c>
      <c r="H61" s="60" t="n">
        <f aca="false">IF(H$47=1,Assumptions!$C$23,0)</f>
        <v>0</v>
      </c>
      <c r="I61" s="60" t="n">
        <f aca="false">IF(I$47=1,Assumptions!$C$23,0)</f>
        <v>0</v>
      </c>
      <c r="J61" s="60" t="n">
        <f aca="false">IF(J$47=1,Assumptions!$C$23,0)</f>
        <v>0</v>
      </c>
      <c r="K61" s="60" t="n">
        <f aca="false">IF(K$47=1,Assumptions!$C$23,0)</f>
        <v>0</v>
      </c>
      <c r="L61" s="60" t="n">
        <f aca="false">IF(L$47=1,Assumptions!$C$23,0)</f>
        <v>0</v>
      </c>
      <c r="M61" s="60" t="n">
        <f aca="false">IF(M$47=1,Assumptions!$C$23,0)</f>
        <v>0</v>
      </c>
      <c r="N61" s="60" t="n">
        <f aca="false">IF(N$47=1,Assumptions!$C$23,0)</f>
        <v>0</v>
      </c>
      <c r="O61" s="60" t="n">
        <f aca="false">IF(O$47=1,Assumptions!$C$23,0)</f>
        <v>0</v>
      </c>
      <c r="P61" s="60" t="n">
        <f aca="false">IF(P$47=1,Assumptions!$C$23,0)</f>
        <v>0</v>
      </c>
      <c r="Q61" s="60" t="n">
        <f aca="false">IF(Q$47=1,Assumptions!$C$23,0)</f>
        <v>0</v>
      </c>
      <c r="R61" s="60" t="n">
        <f aca="false">IF(R$47=1,Assumptions!$C$23,0)</f>
        <v>0</v>
      </c>
      <c r="S61" s="60" t="n">
        <f aca="false">IF(S$47=1,Assumptions!$C$23,0)</f>
        <v>0</v>
      </c>
      <c r="T61" s="60" t="n">
        <f aca="false">IF(T$47=1,Assumptions!$C$23,0)</f>
        <v>0</v>
      </c>
      <c r="U61" s="60" t="n">
        <f aca="false">IF(U$47=1,Assumptions!$C$23,0)</f>
        <v>0</v>
      </c>
      <c r="V61" s="60" t="n">
        <f aca="false">IF(V$47=1,Assumptions!$C$23,0)</f>
        <v>0</v>
      </c>
      <c r="W61" s="60" t="n">
        <f aca="false">IF(W$47=1,Assumptions!$C$23,0)</f>
        <v>0</v>
      </c>
      <c r="X61" s="60" t="n">
        <f aca="false">IF(X$47=1,Assumptions!$C$23,0)</f>
        <v>0</v>
      </c>
      <c r="Y61" s="60" t="n">
        <f aca="false">IF(Y$47=1,Assumptions!$C$23,0)</f>
        <v>0</v>
      </c>
      <c r="Z61" s="60" t="n">
        <f aca="false">IF(Z$47=1,Assumptions!$C$23,0)</f>
        <v>0</v>
      </c>
      <c r="AA61" s="60" t="n">
        <f aca="false">IF(AA$47=1,Assumptions!$C$23,0)</f>
        <v>0</v>
      </c>
      <c r="AB61" s="38" t="n">
        <f aca="false">SUM(D61:O61)</f>
        <v>9500</v>
      </c>
      <c r="AC61" s="38" t="n">
        <f aca="false">SUM(P61:AA61)</f>
        <v>0</v>
      </c>
    </row>
    <row r="62" customFormat="false" ht="15" hidden="false" customHeight="false" outlineLevel="0" collapsed="false">
      <c r="A62" s="3" t="s">
        <v>464</v>
      </c>
      <c r="B62" s="3" t="s">
        <v>62</v>
      </c>
      <c r="D62" s="60" t="n">
        <f aca="false">IF(D$47&gt;=Assumptions!$C$26,(Assumptions!$C$94+Assumptions!$C$95+Assumptions!$C$96+Assumptions!$C$97)/(24-Assumptions!$C$26+1),0)</f>
        <v>0</v>
      </c>
      <c r="E62" s="60" t="n">
        <f aca="false">IF(E$47&gt;=Assumptions!$C$26,(Assumptions!$C$94+Assumptions!$C$95+Assumptions!$C$96+Assumptions!$C$97)/(24-Assumptions!$C$26+1),0)</f>
        <v>0</v>
      </c>
      <c r="F62" s="60" t="n">
        <f aca="false">IF(F$47&gt;=Assumptions!$C$26,(Assumptions!$C$94+Assumptions!$C$95+Assumptions!$C$96+Assumptions!$C$97)/(24-Assumptions!$C$26+1),0)</f>
        <v>0</v>
      </c>
      <c r="G62" s="60" t="n">
        <f aca="false">IF(G$47&gt;=Assumptions!$C$26,(Assumptions!$C$94+Assumptions!$C$95+Assumptions!$C$96+Assumptions!$C$97)/(24-Assumptions!$C$26+1),0)</f>
        <v>0</v>
      </c>
      <c r="H62" s="60" t="n">
        <f aca="false">IF(H$47&gt;=Assumptions!$C$26,(Assumptions!$C$94+Assumptions!$C$95+Assumptions!$C$96+Assumptions!$C$97)/(24-Assumptions!$C$26+1),0)</f>
        <v>0</v>
      </c>
      <c r="I62" s="60" t="n">
        <f aca="false">IF(I$47&gt;=Assumptions!$C$26,(Assumptions!$C$94+Assumptions!$C$95+Assumptions!$C$96+Assumptions!$C$97)/(24-Assumptions!$C$26+1),0)</f>
        <v>0</v>
      </c>
      <c r="J62" s="60" t="n">
        <f aca="false">IF(J$47&gt;=Assumptions!$C$26,(Assumptions!$C$94+Assumptions!$C$95+Assumptions!$C$96+Assumptions!$C$97)/(24-Assumptions!$C$26+1),0)</f>
        <v>0</v>
      </c>
      <c r="K62" s="60" t="n">
        <f aca="false">IF(K$47&gt;=Assumptions!$C$26,(Assumptions!$C$94+Assumptions!$C$95+Assumptions!$C$96+Assumptions!$C$97)/(24-Assumptions!$C$26+1),0)</f>
        <v>0</v>
      </c>
      <c r="L62" s="60" t="n">
        <f aca="false">IF(L$47&gt;=Assumptions!$C$26,(Assumptions!$C$94+Assumptions!$C$95+Assumptions!$C$96+Assumptions!$C$97)/(24-Assumptions!$C$26+1),0)</f>
        <v>0</v>
      </c>
      <c r="M62" s="60" t="n">
        <f aca="false">IF(M$47&gt;=Assumptions!$C$26,(Assumptions!$C$94+Assumptions!$C$95+Assumptions!$C$96+Assumptions!$C$97)/(24-Assumptions!$C$26+1),0)</f>
        <v>0</v>
      </c>
      <c r="N62" s="60" t="n">
        <f aca="false">IF(N$47&gt;=Assumptions!$C$26,(Assumptions!$C$94+Assumptions!$C$95+Assumptions!$C$96+Assumptions!$C$97)/(24-Assumptions!$C$26+1),0)</f>
        <v>0</v>
      </c>
      <c r="O62" s="60" t="n">
        <f aca="false">IF(O$47&gt;=Assumptions!$C$26,(Assumptions!$C$94+Assumptions!$C$95+Assumptions!$C$96+Assumptions!$C$97)/(24-Assumptions!$C$26+1),0)</f>
        <v>0</v>
      </c>
      <c r="P62" s="60" t="n">
        <f aca="false">IF(P$47&gt;=Assumptions!$C$26,(Assumptions!$C$94+Assumptions!$C$95+Assumptions!$C$96+Assumptions!$C$97)/(24-Assumptions!$C$26+1),0)</f>
        <v>0</v>
      </c>
      <c r="Q62" s="60" t="n">
        <f aca="false">IF(Q$47&gt;=Assumptions!$C$26,(Assumptions!$C$94+Assumptions!$C$95+Assumptions!$C$96+Assumptions!$C$97)/(24-Assumptions!$C$26+1),0)</f>
        <v>0</v>
      </c>
      <c r="R62" s="60" t="n">
        <f aca="false">IF(R$47&gt;=Assumptions!$C$26,(Assumptions!$C$94+Assumptions!$C$95+Assumptions!$C$96+Assumptions!$C$97)/(24-Assumptions!$C$26+1),0)</f>
        <v>0</v>
      </c>
      <c r="S62" s="60" t="n">
        <f aca="false">IF(S$47&gt;=Assumptions!$C$26,(Assumptions!$C$94+Assumptions!$C$95+Assumptions!$C$96+Assumptions!$C$97)/(24-Assumptions!$C$26+1),0)</f>
        <v>0</v>
      </c>
      <c r="T62" s="60" t="n">
        <f aca="false">IF(T$47&gt;=Assumptions!$C$26,(Assumptions!$C$94+Assumptions!$C$95+Assumptions!$C$96+Assumptions!$C$97)/(24-Assumptions!$C$26+1),0)</f>
        <v>0</v>
      </c>
      <c r="U62" s="60" t="n">
        <f aca="false">IF(U$47&gt;=Assumptions!$C$26,(Assumptions!$C$94+Assumptions!$C$95+Assumptions!$C$96+Assumptions!$C$97)/(24-Assumptions!$C$26+1),0)</f>
        <v>0</v>
      </c>
      <c r="V62" s="60" t="n">
        <f aca="false">IF(V$47&gt;=Assumptions!$C$26,(Assumptions!$C$94+Assumptions!$C$95+Assumptions!$C$96+Assumptions!$C$97)/(24-Assumptions!$C$26+1),0)</f>
        <v>426.666666666667</v>
      </c>
      <c r="W62" s="60" t="n">
        <f aca="false">IF(W$47&gt;=Assumptions!$C$26,(Assumptions!$C$94+Assumptions!$C$95+Assumptions!$C$96+Assumptions!$C$97)/(24-Assumptions!$C$26+1),0)</f>
        <v>426.666666666667</v>
      </c>
      <c r="X62" s="60" t="n">
        <f aca="false">IF(X$47&gt;=Assumptions!$C$26,(Assumptions!$C$94+Assumptions!$C$95+Assumptions!$C$96+Assumptions!$C$97)/(24-Assumptions!$C$26+1),0)</f>
        <v>426.666666666667</v>
      </c>
      <c r="Y62" s="60" t="n">
        <f aca="false">IF(Y$47&gt;=Assumptions!$C$26,(Assumptions!$C$94+Assumptions!$C$95+Assumptions!$C$96+Assumptions!$C$97)/(24-Assumptions!$C$26+1),0)</f>
        <v>426.666666666667</v>
      </c>
      <c r="Z62" s="60" t="n">
        <f aca="false">IF(Z$47&gt;=Assumptions!$C$26,(Assumptions!$C$94+Assumptions!$C$95+Assumptions!$C$96+Assumptions!$C$97)/(24-Assumptions!$C$26+1),0)</f>
        <v>426.666666666667</v>
      </c>
      <c r="AA62" s="60" t="n">
        <f aca="false">IF(AA$47&gt;=Assumptions!$C$26,(Assumptions!$C$94+Assumptions!$C$95+Assumptions!$C$96+Assumptions!$C$97)/(24-Assumptions!$C$26+1),0)</f>
        <v>426.666666666667</v>
      </c>
      <c r="AB62" s="38" t="n">
        <f aca="false">SUM(D62:O62)</f>
        <v>0</v>
      </c>
      <c r="AC62" s="38" t="n">
        <f aca="false">SUM(P62:AA62)</f>
        <v>2560</v>
      </c>
    </row>
    <row r="63" customFormat="false" ht="15" hidden="false" customHeight="false" outlineLevel="0" collapsed="false">
      <c r="A63" s="9" t="s">
        <v>465</v>
      </c>
      <c r="B63" s="3" t="s">
        <v>62</v>
      </c>
      <c r="D63" s="29" t="n">
        <f aca="false">D58-D59-D60-D61-D62</f>
        <v>-10919.19</v>
      </c>
      <c r="E63" s="29" t="n">
        <f aca="false">E58-E59-E60-E61-E62</f>
        <v>-1736.71</v>
      </c>
      <c r="F63" s="29" t="n">
        <f aca="false">F58-F59-F60-F61-F62</f>
        <v>-2160.07</v>
      </c>
      <c r="G63" s="29" t="n">
        <f aca="false">G58-G59-G60-G61-G62</f>
        <v>-1741.99</v>
      </c>
      <c r="H63" s="29" t="n">
        <f aca="false">H58-H59-H60-H61-H62</f>
        <v>-1997.59</v>
      </c>
      <c r="I63" s="29" t="n">
        <f aca="false">I58-I59-I60-I61-I62</f>
        <v>-2287.27</v>
      </c>
      <c r="J63" s="29" t="n">
        <f aca="false">J58-J59-J60-J61-J62</f>
        <v>-997.99</v>
      </c>
      <c r="K63" s="29" t="n">
        <f aca="false">K58-K59-K60-K61-K62</f>
        <v>-1019.59</v>
      </c>
      <c r="L63" s="29" t="n">
        <f aca="false">L58-L59-L60-L61-L62</f>
        <v>-1041.19</v>
      </c>
      <c r="M63" s="29" t="n">
        <f aca="false">M58-M59-M60-M61-M62</f>
        <v>-1062.79</v>
      </c>
      <c r="N63" s="29" t="n">
        <f aca="false">N58-N59-N60-N61-N62</f>
        <v>-1084.39</v>
      </c>
      <c r="O63" s="29" t="n">
        <f aca="false">O58-O59-O60-O61-O62</f>
        <v>-1111.39</v>
      </c>
      <c r="P63" s="29" t="n">
        <f aca="false">P58-P59-P60-P61-P62</f>
        <v>919.01</v>
      </c>
      <c r="Q63" s="29" t="n">
        <f aca="false">Q58-Q59-Q60-Q61-Q62</f>
        <v>1079.81</v>
      </c>
      <c r="R63" s="29" t="n">
        <f aca="false">R58-R59-R60-R61-R62</f>
        <v>1200.41000000001</v>
      </c>
      <c r="S63" s="29" t="n">
        <f aca="false">S58-S59-S60-S61-S62</f>
        <v>1321.01</v>
      </c>
      <c r="T63" s="29" t="n">
        <f aca="false">T58-T59-T60-T61-T62</f>
        <v>1441.61</v>
      </c>
      <c r="U63" s="29" t="n">
        <f aca="false">U58-U59-U60-U61-U62</f>
        <v>1562.21</v>
      </c>
      <c r="V63" s="29" t="n">
        <f aca="false">V58-V59-V60-V61-V62</f>
        <v>-1451.63166666667</v>
      </c>
      <c r="W63" s="29" t="n">
        <f aca="false">W58-W59-W60-W61-W62</f>
        <v>-1451.63166666667</v>
      </c>
      <c r="X63" s="29" t="n">
        <f aca="false">X58-X59-X60-X61-X62</f>
        <v>-1451.63166666667</v>
      </c>
      <c r="Y63" s="29" t="n">
        <f aca="false">Y58-Y59-Y60-Y61-Y62</f>
        <v>483.593333333337</v>
      </c>
      <c r="Z63" s="29" t="n">
        <f aca="false">Z58-Z59-Z60-Z61-Z62</f>
        <v>483.593333333337</v>
      </c>
      <c r="AA63" s="29" t="n">
        <f aca="false">AA58-AA59-AA60-AA61-AA62</f>
        <v>483.593333333337</v>
      </c>
      <c r="AB63" s="29" t="n">
        <f aca="false">SUM(D63:O63)</f>
        <v>-27160.16</v>
      </c>
      <c r="AC63" s="29" t="n">
        <f aca="false">SUM(P63:AA63)</f>
        <v>4619.94500000002</v>
      </c>
    </row>
    <row r="64" customFormat="false" ht="15" hidden="false" customHeight="false" outlineLevel="0" collapsed="false">
      <c r="A64" s="3" t="s">
        <v>466</v>
      </c>
      <c r="B64" s="3" t="s">
        <v>62</v>
      </c>
      <c r="D64" s="38" t="n">
        <f aca="false">D63</f>
        <v>-10919.19</v>
      </c>
      <c r="E64" s="38" t="n">
        <f aca="false">D64+E63</f>
        <v>-12655.9</v>
      </c>
      <c r="F64" s="38" t="n">
        <f aca="false">E64+F63</f>
        <v>-14815.97</v>
      </c>
      <c r="G64" s="38" t="n">
        <f aca="false">F64+G63</f>
        <v>-16557.96</v>
      </c>
      <c r="H64" s="38" t="n">
        <f aca="false">G64+H63</f>
        <v>-18555.55</v>
      </c>
      <c r="I64" s="38" t="n">
        <f aca="false">H64+I63</f>
        <v>-20842.82</v>
      </c>
      <c r="J64" s="38" t="n">
        <f aca="false">I64+J63</f>
        <v>-21840.81</v>
      </c>
      <c r="K64" s="38" t="n">
        <f aca="false">J64+K63</f>
        <v>-22860.4</v>
      </c>
      <c r="L64" s="38" t="n">
        <f aca="false">K64+L63</f>
        <v>-23901.59</v>
      </c>
      <c r="M64" s="38" t="n">
        <f aca="false">L64+M63</f>
        <v>-24964.38</v>
      </c>
      <c r="N64" s="38" t="n">
        <f aca="false">M64+N63</f>
        <v>-26048.77</v>
      </c>
      <c r="O64" s="38" t="n">
        <f aca="false">N64+O63</f>
        <v>-27160.16</v>
      </c>
      <c r="P64" s="38" t="n">
        <f aca="false">O64+P63</f>
        <v>-26241.15</v>
      </c>
      <c r="Q64" s="38" t="n">
        <f aca="false">P64+Q63</f>
        <v>-25161.34</v>
      </c>
      <c r="R64" s="38" t="n">
        <f aca="false">Q64+R63</f>
        <v>-23960.93</v>
      </c>
      <c r="S64" s="38" t="n">
        <f aca="false">R64+S63</f>
        <v>-22639.92</v>
      </c>
      <c r="T64" s="38" t="n">
        <f aca="false">S64+T63</f>
        <v>-21198.31</v>
      </c>
      <c r="U64" s="38" t="n">
        <f aca="false">T64+U63</f>
        <v>-19636.1</v>
      </c>
      <c r="V64" s="38" t="n">
        <f aca="false">U64+V63</f>
        <v>-21087.7316666667</v>
      </c>
      <c r="W64" s="38" t="n">
        <f aca="false">V64+W63</f>
        <v>-22539.3633333333</v>
      </c>
      <c r="X64" s="38" t="n">
        <f aca="false">W64+X63</f>
        <v>-23990.995</v>
      </c>
      <c r="Y64" s="38" t="n">
        <f aca="false">X64+Y63</f>
        <v>-23507.4016666667</v>
      </c>
      <c r="Z64" s="38" t="n">
        <f aca="false">Y64+Z63</f>
        <v>-23023.8083333333</v>
      </c>
      <c r="AA64" s="38" t="n">
        <f aca="false">Z64+AA63</f>
        <v>-22540.215</v>
      </c>
      <c r="AB64" s="38" t="n">
        <f aca="false">O64</f>
        <v>-27160.16</v>
      </c>
      <c r="AC64" s="38" t="n">
        <f aca="false">AA64</f>
        <v>-22540.215</v>
      </c>
    </row>
    <row r="65" customFormat="false" ht="15" hidden="false" customHeight="false" outlineLevel="0" collapsed="false">
      <c r="A65" s="3" t="s">
        <v>467</v>
      </c>
      <c r="B65" s="3" t="s">
        <v>66</v>
      </c>
      <c r="D65" s="34" t="n">
        <f aca="false">IF(D51=0,0,D63/D51)</f>
        <v>-3.19274561403509</v>
      </c>
      <c r="E65" s="34" t="n">
        <f aca="false">IF(E51=0,0,E63/E51)</f>
        <v>-0.317381213450292</v>
      </c>
      <c r="F65" s="34" t="n">
        <f aca="false">IF(F51=0,0,F63/F51)</f>
        <v>-0.263166423001949</v>
      </c>
      <c r="G65" s="34" t="n">
        <f aca="false">IF(G51=0,0,G63/G51)</f>
        <v>-0.152806140350877</v>
      </c>
      <c r="H65" s="34" t="n">
        <f aca="false">IF(H51=0,0,H63/H51)</f>
        <v>-0.134790148448043</v>
      </c>
      <c r="I65" s="34" t="n">
        <f aca="false">IF(I51=0,0,I63/I51)</f>
        <v>-0.122340072742833</v>
      </c>
      <c r="J65" s="34" t="n">
        <f aca="false">IF(J51=0,0,J63/J51)</f>
        <v>-0.0437714912280702</v>
      </c>
      <c r="K65" s="34" t="n">
        <f aca="false">IF(K51=0,0,K63/K51)</f>
        <v>-0.037265716374269</v>
      </c>
      <c r="L65" s="34" t="n">
        <f aca="false">IF(L51=0,0,L63/L51)</f>
        <v>-0.0326187343358395</v>
      </c>
      <c r="M65" s="34" t="n">
        <f aca="false">IF(M51=0,0,M63/M51)</f>
        <v>-0.0291334978070176</v>
      </c>
      <c r="N65" s="34" t="n">
        <f aca="false">IF(N51=0,0,N63/N51)</f>
        <v>-0.0264227582846004</v>
      </c>
      <c r="O65" s="34" t="n">
        <f aca="false">IF(O51=0,0,O63/O51)</f>
        <v>-0.023778134360291</v>
      </c>
      <c r="P65" s="34" t="n">
        <f aca="false">IF(P51=0,0,P63/P51)</f>
        <v>0.0179144249512671</v>
      </c>
      <c r="Q65" s="34" t="n">
        <f aca="false">IF(Q51=0,0,Q63/Q51)</f>
        <v>0.0193306480486932</v>
      </c>
      <c r="R65" s="34" t="n">
        <f aca="false">IF(R51=0,0,R63/R51)</f>
        <v>0.0202498313090419</v>
      </c>
      <c r="S65" s="34" t="n">
        <f aca="false">IF(S51=0,0,S63/S51)</f>
        <v>0.0210687400318979</v>
      </c>
      <c r="T65" s="34" t="n">
        <f aca="false">IF(T51=0,0,T63/T51)</f>
        <v>0.0218029340592862</v>
      </c>
      <c r="U65" s="34" t="n">
        <f aca="false">IF(U51=0,0,U63/U51)</f>
        <v>0.0224649122807018</v>
      </c>
      <c r="V65" s="34" t="n">
        <f aca="false">IF(V51=0,0,V63/V51)</f>
        <v>-0.208747723132969</v>
      </c>
      <c r="W65" s="34" t="n">
        <f aca="false">IF(W51=0,0,W63/W51)</f>
        <v>-0.208747723132969</v>
      </c>
      <c r="X65" s="34" t="n">
        <f aca="false">IF(X51=0,0,X63/X51)</f>
        <v>-0.208747723132969</v>
      </c>
      <c r="Y65" s="34" t="n">
        <f aca="false">IF(Y51=0,0,Y63/Y51)</f>
        <v>0.0069541750551242</v>
      </c>
      <c r="Z65" s="34" t="n">
        <f aca="false">IF(Z51=0,0,Z63/Z51)</f>
        <v>0.0069541750551242</v>
      </c>
      <c r="AA65" s="34" t="n">
        <f aca="false">IF(AA51=0,0,AA63/AA51)</f>
        <v>0.0069541750551242</v>
      </c>
      <c r="AB65" s="34" t="n">
        <f aca="false">IF(AB51=0,0,AB63/AB51)</f>
        <v>-0.101209438208946</v>
      </c>
      <c r="AC65" s="34" t="n">
        <f aca="false">IF(AC51=0,0,AC63/AC51)</f>
        <v>0.00777399450092721</v>
      </c>
    </row>
    <row r="66" customFormat="false" ht="15" hidden="false" customHeight="false" outlineLevel="0" collapsed="false">
      <c r="A66" s="3" t="s">
        <v>468</v>
      </c>
      <c r="B66" s="3" t="s">
        <v>66</v>
      </c>
      <c r="D66" s="34" t="n">
        <f aca="false">IF(D51=0,0,D57/D51)</f>
        <v>0.37</v>
      </c>
      <c r="E66" s="34" t="n">
        <f aca="false">IF(E51=0,0,E57/E51)</f>
        <v>0.37</v>
      </c>
      <c r="F66" s="34" t="n">
        <f aca="false">IF(F51=0,0,F57/F51)</f>
        <v>0.37</v>
      </c>
      <c r="G66" s="34" t="n">
        <f aca="false">IF(G51=0,0,G57/G51)</f>
        <v>0.29</v>
      </c>
      <c r="H66" s="34" t="n">
        <f aca="false">IF(H51=0,0,H57/H51)</f>
        <v>0.29</v>
      </c>
      <c r="I66" s="34" t="n">
        <f aca="false">IF(I51=0,0,I57/I51)</f>
        <v>0.29</v>
      </c>
      <c r="J66" s="34" t="n">
        <f aca="false">IF(J51=0,0,J57/J51)</f>
        <v>0.22</v>
      </c>
      <c r="K66" s="34" t="n">
        <f aca="false">IF(K51=0,0,K57/K51)</f>
        <v>0.22</v>
      </c>
      <c r="L66" s="34" t="n">
        <f aca="false">IF(L51=0,0,L57/L51)</f>
        <v>0.22</v>
      </c>
      <c r="M66" s="34" t="n">
        <f aca="false">IF(M51=0,0,M57/M51)</f>
        <v>0.22</v>
      </c>
      <c r="N66" s="34" t="n">
        <f aca="false">IF(N51=0,0,N57/N51)</f>
        <v>0.22</v>
      </c>
      <c r="O66" s="34" t="n">
        <f aca="false">IF(O51=0,0,O57/O51)</f>
        <v>0.22</v>
      </c>
      <c r="P66" s="34" t="n">
        <f aca="false">IF(P51=0,0,P57/P51)</f>
        <v>0.18</v>
      </c>
      <c r="Q66" s="34" t="n">
        <f aca="false">IF(Q51=0,0,Q57/Q51)</f>
        <v>0.18</v>
      </c>
      <c r="R66" s="34" t="n">
        <f aca="false">IF(R51=0,0,R57/R51)</f>
        <v>0.18</v>
      </c>
      <c r="S66" s="34" t="n">
        <f aca="false">IF(S51=0,0,S57/S51)</f>
        <v>0.18</v>
      </c>
      <c r="T66" s="34" t="n">
        <f aca="false">IF(T51=0,0,T57/T51)</f>
        <v>0.18</v>
      </c>
      <c r="U66" s="34" t="n">
        <f aca="false">IF(U51=0,0,U57/U51)</f>
        <v>0.18</v>
      </c>
      <c r="V66" s="34" t="n">
        <f aca="false">IF(V51=0,0,V57/V51)</f>
        <v>0.18</v>
      </c>
      <c r="W66" s="34" t="n">
        <f aca="false">IF(W51=0,0,W57/W51)</f>
        <v>0.18</v>
      </c>
      <c r="X66" s="34" t="n">
        <f aca="false">IF(X51=0,0,X57/X51)</f>
        <v>0.18</v>
      </c>
      <c r="Y66" s="34" t="n">
        <f aca="false">IF(Y51=0,0,Y57/Y51)</f>
        <v>0.18</v>
      </c>
      <c r="Z66" s="34" t="n">
        <f aca="false">IF(Z51=0,0,Z57/Z51)</f>
        <v>0.18</v>
      </c>
      <c r="AA66" s="34" t="n">
        <f aca="false">IF(AA51=0,0,AA57/AA51)</f>
        <v>0.18</v>
      </c>
      <c r="AB66" s="34" t="n">
        <f aca="false">IF(AB51=0,0,AB57/AB51)</f>
        <v>0.241274426508071</v>
      </c>
      <c r="AC66" s="34" t="n">
        <f aca="false">IF(AC51=0,0,AC57/AC51)</f>
        <v>0.18</v>
      </c>
    </row>
    <row r="67" customFormat="false" ht="15" hidden="false" customHeight="false" outlineLevel="0" collapsed="false">
      <c r="A67" s="3" t="s">
        <v>375</v>
      </c>
      <c r="B67" s="3" t="s">
        <v>454</v>
      </c>
      <c r="D67" s="40" t="n">
        <f aca="false">IF(D49=0,0,(D58+D57)/D49)</f>
        <v>8.18</v>
      </c>
      <c r="E67" s="40" t="n">
        <f aca="false">IF(E49=0,0,(E58+E57)/E49)</f>
        <v>8.18</v>
      </c>
      <c r="F67" s="40" t="n">
        <f aca="false">IF(F49=0,0,(F58+F57)/F49)</f>
        <v>8.18</v>
      </c>
      <c r="G67" s="40" t="n">
        <f aca="false">IF(G49=0,0,(G58+G57)/G49)</f>
        <v>8.18</v>
      </c>
      <c r="H67" s="40" t="n">
        <f aca="false">IF(H49=0,0,(H58+H57)/H49)</f>
        <v>8.18</v>
      </c>
      <c r="I67" s="40" t="n">
        <f aca="false">IF(I49=0,0,(I58+I57)/I49)</f>
        <v>8.18</v>
      </c>
      <c r="J67" s="40" t="n">
        <f aca="false">IF(J49=0,0,(J58+J57)/J49)</f>
        <v>8.18</v>
      </c>
      <c r="K67" s="40" t="n">
        <f aca="false">IF(K49=0,0,(K58+K57)/K49)</f>
        <v>8.18</v>
      </c>
      <c r="L67" s="40" t="n">
        <f aca="false">IF(L49=0,0,(L58+L57)/L49)</f>
        <v>8.18</v>
      </c>
      <c r="M67" s="40" t="n">
        <f aca="false">IF(M49=0,0,(M58+M57)/M49)</f>
        <v>8.18</v>
      </c>
      <c r="N67" s="40" t="n">
        <f aca="false">IF(N49=0,0,(N58+N57)/N49)</f>
        <v>8.18</v>
      </c>
      <c r="O67" s="40" t="n">
        <f aca="false">IF(O49=0,0,(O58+O57)/O49)</f>
        <v>8.18</v>
      </c>
      <c r="P67" s="40" t="n">
        <f aca="false">IF(P49=0,0,(P58+P57)/P49)</f>
        <v>8.18</v>
      </c>
      <c r="Q67" s="40" t="n">
        <f aca="false">IF(Q49=0,0,(Q58+Q57)/Q49)</f>
        <v>8.18</v>
      </c>
      <c r="R67" s="40" t="n">
        <f aca="false">IF(R49=0,0,(R58+R57)/R49)</f>
        <v>8.18</v>
      </c>
      <c r="S67" s="40" t="n">
        <f aca="false">IF(S49=0,0,(S58+S57)/S49)</f>
        <v>8.18</v>
      </c>
      <c r="T67" s="40" t="n">
        <f aca="false">IF(T49=0,0,(T58+T57)/T49)</f>
        <v>8.18</v>
      </c>
      <c r="U67" s="40" t="n">
        <f aca="false">IF(U49=0,0,(U58+U57)/U49)</f>
        <v>8.18</v>
      </c>
      <c r="V67" s="40" t="n">
        <f aca="false">IF(V49=0,0,(V58+V57)/V49)</f>
        <v>8.015</v>
      </c>
      <c r="W67" s="40" t="n">
        <f aca="false">IF(W49=0,0,(W58+W57)/W49)</f>
        <v>8.015</v>
      </c>
      <c r="X67" s="40" t="n">
        <f aca="false">IF(X49=0,0,(X58+X57)/X49)</f>
        <v>8.015</v>
      </c>
      <c r="Y67" s="40" t="n">
        <f aca="false">IF(Y49=0,0,(Y58+Y57)/Y49)</f>
        <v>8.015</v>
      </c>
      <c r="Z67" s="40" t="n">
        <f aca="false">IF(Z49=0,0,(Z58+Z57)/Z49)</f>
        <v>8.015</v>
      </c>
      <c r="AA67" s="40" t="n">
        <f aca="false">IF(AA49=0,0,(AA58+AA57)/AA49)</f>
        <v>8.015</v>
      </c>
      <c r="AB67" s="40" t="n">
        <f aca="false">IF(AB49=0,0,(AB58+AB57)/AB49)</f>
        <v>8.18</v>
      </c>
      <c r="AC67" s="40" t="n">
        <f aca="false">IF(AC49=0,0,(AC58+AC57)/AC49)</f>
        <v>8.11628524841742</v>
      </c>
    </row>
    <row r="68" customFormat="false" ht="15" hidden="false" customHeight="false" outlineLevel="0" collapsed="false">
      <c r="A68" s="3" t="s">
        <v>469</v>
      </c>
      <c r="B68" s="3" t="s">
        <v>454</v>
      </c>
      <c r="D68" s="40" t="n">
        <f aca="false">IF(D49=0,0,D58/D49)</f>
        <v>-5.88</v>
      </c>
      <c r="E68" s="40" t="n">
        <f aca="false">IF(E49=0,0,E58/E49)</f>
        <v>-5.88</v>
      </c>
      <c r="F68" s="40" t="n">
        <f aca="false">IF(F49=0,0,F58/F49)</f>
        <v>-5.88</v>
      </c>
      <c r="G68" s="40" t="n">
        <f aca="false">IF(G49=0,0,G58/G49)</f>
        <v>-2.84</v>
      </c>
      <c r="H68" s="40" t="n">
        <f aca="false">IF(H49=0,0,H58/H49)</f>
        <v>-2.84</v>
      </c>
      <c r="I68" s="40" t="n">
        <f aca="false">IF(I49=0,0,I58/I49)</f>
        <v>-2.84</v>
      </c>
      <c r="J68" s="40" t="n">
        <f aca="false">IF(J49=0,0,J58/J49)</f>
        <v>-0.18</v>
      </c>
      <c r="K68" s="40" t="n">
        <f aca="false">IF(K49=0,0,K58/K49)</f>
        <v>-0.179999999999998</v>
      </c>
      <c r="L68" s="40" t="n">
        <f aca="false">IF(L49=0,0,L58/L49)</f>
        <v>-0.179999999999998</v>
      </c>
      <c r="M68" s="40" t="n">
        <f aca="false">IF(M49=0,0,M58/M49)</f>
        <v>-0.180000000000003</v>
      </c>
      <c r="N68" s="40" t="n">
        <f aca="false">IF(N49=0,0,N58/N49)</f>
        <v>-0.18</v>
      </c>
      <c r="O68" s="40" t="n">
        <f aca="false">IF(O49=0,0,O58/O49)</f>
        <v>-0.18</v>
      </c>
      <c r="P68" s="40" t="n">
        <f aca="false">IF(P49=0,0,P58/P49)</f>
        <v>1.34</v>
      </c>
      <c r="Q68" s="40" t="n">
        <f aca="false">IF(Q49=0,0,Q58/Q49)</f>
        <v>1.34</v>
      </c>
      <c r="R68" s="40" t="n">
        <f aca="false">IF(R49=0,0,R58/R49)</f>
        <v>1.34</v>
      </c>
      <c r="S68" s="40" t="n">
        <f aca="false">IF(S49=0,0,S58/S49)</f>
        <v>1.34</v>
      </c>
      <c r="T68" s="40" t="n">
        <f aca="false">IF(T49=0,0,T58/T49)</f>
        <v>1.34</v>
      </c>
      <c r="U68" s="40" t="n">
        <f aca="false">IF(U49=0,0,U58/U49)</f>
        <v>1.34</v>
      </c>
      <c r="V68" s="40" t="n">
        <f aca="false">IF(V49=0,0,V58/V49)</f>
        <v>1.175</v>
      </c>
      <c r="W68" s="40" t="n">
        <f aca="false">IF(W49=0,0,W58/W49)</f>
        <v>1.175</v>
      </c>
      <c r="X68" s="40" t="n">
        <f aca="false">IF(X49=0,0,X58/X49)</f>
        <v>1.175</v>
      </c>
      <c r="Y68" s="40" t="n">
        <f aca="false">IF(Y49=0,0,Y58/Y49)</f>
        <v>1.175</v>
      </c>
      <c r="Z68" s="40" t="n">
        <f aca="false">IF(Z49=0,0,Z58/Z49)</f>
        <v>1.175</v>
      </c>
      <c r="AA68" s="40" t="n">
        <f aca="false">IF(AA49=0,0,AA58/AA49)</f>
        <v>1.175</v>
      </c>
      <c r="AB68" s="40" t="n">
        <f aca="false">IF(AB49=0,0,AB58/AB49)</f>
        <v>-0.988428207306711</v>
      </c>
      <c r="AC68" s="40" t="n">
        <f aca="false">IF(AC49=0,0,AC58/AC49)</f>
        <v>1.27628524841742</v>
      </c>
    </row>
    <row r="69" customFormat="false" ht="15" hidden="false" customHeight="false" outlineLevel="0" collapsed="false">
      <c r="A69" s="3" t="s">
        <v>470</v>
      </c>
      <c r="B69" s="3" t="s">
        <v>471</v>
      </c>
      <c r="D69" s="30" t="n">
        <f aca="false">IF(D64&gt;=0,1,0)</f>
        <v>0</v>
      </c>
      <c r="E69" s="30" t="n">
        <f aca="false">IF(E64&gt;=0,1,0)</f>
        <v>0</v>
      </c>
      <c r="F69" s="30" t="n">
        <f aca="false">IF(F64&gt;=0,1,0)</f>
        <v>0</v>
      </c>
      <c r="G69" s="30" t="n">
        <f aca="false">IF(G64&gt;=0,1,0)</f>
        <v>0</v>
      </c>
      <c r="H69" s="30" t="n">
        <f aca="false">IF(H64&gt;=0,1,0)</f>
        <v>0</v>
      </c>
      <c r="I69" s="30" t="n">
        <f aca="false">IF(I64&gt;=0,1,0)</f>
        <v>0</v>
      </c>
      <c r="J69" s="30" t="n">
        <f aca="false">IF(J64&gt;=0,1,0)</f>
        <v>0</v>
      </c>
      <c r="K69" s="30" t="n">
        <f aca="false">IF(K64&gt;=0,1,0)</f>
        <v>0</v>
      </c>
      <c r="L69" s="30" t="n">
        <f aca="false">IF(L64&gt;=0,1,0)</f>
        <v>0</v>
      </c>
      <c r="M69" s="30" t="n">
        <f aca="false">IF(M64&gt;=0,1,0)</f>
        <v>0</v>
      </c>
      <c r="N69" s="30" t="n">
        <f aca="false">IF(N64&gt;=0,1,0)</f>
        <v>0</v>
      </c>
      <c r="O69" s="30" t="n">
        <f aca="false">IF(O64&gt;=0,1,0)</f>
        <v>0</v>
      </c>
      <c r="P69" s="30" t="n">
        <f aca="false">IF(P64&gt;=0,1,0)</f>
        <v>0</v>
      </c>
      <c r="Q69" s="30" t="n">
        <f aca="false">IF(Q64&gt;=0,1,0)</f>
        <v>0</v>
      </c>
      <c r="R69" s="30" t="n">
        <f aca="false">IF(R64&gt;=0,1,0)</f>
        <v>0</v>
      </c>
      <c r="S69" s="30" t="n">
        <f aca="false">IF(S64&gt;=0,1,0)</f>
        <v>0</v>
      </c>
      <c r="T69" s="30" t="n">
        <f aca="false">IF(T64&gt;=0,1,0)</f>
        <v>0</v>
      </c>
      <c r="U69" s="30" t="n">
        <f aca="false">IF(U64&gt;=0,1,0)</f>
        <v>0</v>
      </c>
      <c r="V69" s="30" t="n">
        <f aca="false">IF(V64&gt;=0,1,0)</f>
        <v>0</v>
      </c>
      <c r="W69" s="30" t="n">
        <f aca="false">IF(W64&gt;=0,1,0)</f>
        <v>0</v>
      </c>
      <c r="X69" s="30" t="n">
        <f aca="false">IF(X64&gt;=0,1,0)</f>
        <v>0</v>
      </c>
      <c r="Y69" s="30" t="n">
        <f aca="false">IF(Y64&gt;=0,1,0)</f>
        <v>0</v>
      </c>
      <c r="Z69" s="30" t="n">
        <f aca="false">IF(Z64&gt;=0,1,0)</f>
        <v>0</v>
      </c>
      <c r="AA69" s="30" t="n">
        <f aca="false">IF(AA64&gt;=0,1,0)</f>
        <v>0</v>
      </c>
    </row>
    <row r="71" customFormat="false" ht="15" hidden="false" customHeight="false" outlineLevel="0" collapsed="false">
      <c r="A71" s="9" t="s">
        <v>472</v>
      </c>
    </row>
    <row r="72" customFormat="false" ht="15" hidden="false" customHeight="false" outlineLevel="0" collapsed="false">
      <c r="A72" s="3" t="s">
        <v>473</v>
      </c>
      <c r="B72" s="3" t="s">
        <v>66</v>
      </c>
      <c r="D72" s="54" t="n">
        <f aca="false">IF(D$47&gt;=Assumptions!$C$26,LandedPctLow+Assumptions!$C$33,LandedPctLow)</f>
        <v>0.43</v>
      </c>
      <c r="E72" s="54" t="n">
        <f aca="false">IF(E$47&gt;=Assumptions!$C$26,LandedPctLow+Assumptions!$C$33,LandedPctLow)</f>
        <v>0.43</v>
      </c>
      <c r="F72" s="54" t="n">
        <f aca="false">IF(F$47&gt;=Assumptions!$C$26,LandedPctLow+Assumptions!$C$33,LandedPctLow)</f>
        <v>0.43</v>
      </c>
      <c r="G72" s="54" t="n">
        <f aca="false">IF(G$47&gt;=Assumptions!$C$26,LandedPctLow+Assumptions!$C$33,LandedPctLow)</f>
        <v>0.43</v>
      </c>
      <c r="H72" s="54" t="n">
        <f aca="false">IF(H$47&gt;=Assumptions!$C$26,LandedPctLow+Assumptions!$C$33,LandedPctLow)</f>
        <v>0.43</v>
      </c>
      <c r="I72" s="54" t="n">
        <f aca="false">IF(I$47&gt;=Assumptions!$C$26,LandedPctLow+Assumptions!$C$33,LandedPctLow)</f>
        <v>0.43</v>
      </c>
      <c r="J72" s="54" t="n">
        <f aca="false">IF(J$47&gt;=Assumptions!$C$26,LandedPctLow+Assumptions!$C$33,LandedPctLow)</f>
        <v>0.43</v>
      </c>
      <c r="K72" s="54" t="n">
        <f aca="false">IF(K$47&gt;=Assumptions!$C$26,LandedPctLow+Assumptions!$C$33,LandedPctLow)</f>
        <v>0.43</v>
      </c>
      <c r="L72" s="54" t="n">
        <f aca="false">IF(L$47&gt;=Assumptions!$C$26,LandedPctLow+Assumptions!$C$33,LandedPctLow)</f>
        <v>0.43</v>
      </c>
      <c r="M72" s="54" t="n">
        <f aca="false">IF(M$47&gt;=Assumptions!$C$26,LandedPctLow+Assumptions!$C$33,LandedPctLow)</f>
        <v>0.43</v>
      </c>
      <c r="N72" s="54" t="n">
        <f aca="false">IF(N$47&gt;=Assumptions!$C$26,LandedPctLow+Assumptions!$C$33,LandedPctLow)</f>
        <v>0.43</v>
      </c>
      <c r="O72" s="54" t="n">
        <f aca="false">IF(O$47&gt;=Assumptions!$C$26,LandedPctLow+Assumptions!$C$33,LandedPctLow)</f>
        <v>0.43</v>
      </c>
      <c r="P72" s="54" t="n">
        <f aca="false">IF(P$47&gt;=Assumptions!$C$26,LandedPctLow+Assumptions!$C$33,LandedPctLow)</f>
        <v>0.43</v>
      </c>
      <c r="Q72" s="54" t="n">
        <f aca="false">IF(Q$47&gt;=Assumptions!$C$26,LandedPctLow+Assumptions!$C$33,LandedPctLow)</f>
        <v>0.43</v>
      </c>
      <c r="R72" s="54" t="n">
        <f aca="false">IF(R$47&gt;=Assumptions!$C$26,LandedPctLow+Assumptions!$C$33,LandedPctLow)</f>
        <v>0.43</v>
      </c>
      <c r="S72" s="54" t="n">
        <f aca="false">IF(S$47&gt;=Assumptions!$C$26,LandedPctLow+Assumptions!$C$33,LandedPctLow)</f>
        <v>0.43</v>
      </c>
      <c r="T72" s="54" t="n">
        <f aca="false">IF(T$47&gt;=Assumptions!$C$26,LandedPctLow+Assumptions!$C$33,LandedPctLow)</f>
        <v>0.43</v>
      </c>
      <c r="U72" s="54" t="n">
        <f aca="false">IF(U$47&gt;=Assumptions!$C$26,LandedPctLow+Assumptions!$C$33,LandedPctLow)</f>
        <v>0.43</v>
      </c>
      <c r="V72" s="54" t="n">
        <f aca="false">IF(V$47&gt;=Assumptions!$C$26,LandedPctLow+Assumptions!$C$33,LandedPctLow)</f>
        <v>0.43</v>
      </c>
      <c r="W72" s="54" t="n">
        <f aca="false">IF(W$47&gt;=Assumptions!$C$26,LandedPctLow+Assumptions!$C$33,LandedPctLow)</f>
        <v>0.43</v>
      </c>
      <c r="X72" s="54" t="n">
        <f aca="false">IF(X$47&gt;=Assumptions!$C$26,LandedPctLow+Assumptions!$C$33,LandedPctLow)</f>
        <v>0.43</v>
      </c>
      <c r="Y72" s="54" t="n">
        <f aca="false">IF(Y$47&gt;=Assumptions!$C$26,LandedPctLow+Assumptions!$C$33,LandedPctLow)</f>
        <v>0.43</v>
      </c>
      <c r="Z72" s="54" t="n">
        <f aca="false">IF(Z$47&gt;=Assumptions!$C$26,LandedPctLow+Assumptions!$C$33,LandedPctLow)</f>
        <v>0.43</v>
      </c>
      <c r="AA72" s="54" t="n">
        <f aca="false">IF(AA$47&gt;=Assumptions!$C$26,LandedPctLow+Assumptions!$C$33,LandedPctLow)</f>
        <v>0.43</v>
      </c>
      <c r="AB72" s="34" t="n">
        <f aca="false">IF(AB51=0,0,AB52/AB51)</f>
        <v>0.43</v>
      </c>
      <c r="AC72" s="34" t="n">
        <f aca="false">IF(AC51=0,0,AC52/AC51)</f>
        <v>0.43</v>
      </c>
    </row>
    <row r="73" customFormat="false" ht="15" hidden="false" customHeight="false" outlineLevel="0" collapsed="false">
      <c r="A73" s="3" t="s">
        <v>474</v>
      </c>
      <c r="B73" s="3" t="s">
        <v>454</v>
      </c>
      <c r="D73" s="35" t="n">
        <f aca="false">Assumptions!$C$20*IF(D$47&gt;=Assumptions!$C$26,1+Assumptions!$C$32,1)</f>
        <v>5.5</v>
      </c>
      <c r="E73" s="35" t="n">
        <f aca="false">Assumptions!$C$20*IF(E$47&gt;=Assumptions!$C$26,1+Assumptions!$C$32,1)</f>
        <v>5.5</v>
      </c>
      <c r="F73" s="35" t="n">
        <f aca="false">Assumptions!$C$20*IF(F$47&gt;=Assumptions!$C$26,1+Assumptions!$C$32,1)</f>
        <v>5.5</v>
      </c>
      <c r="G73" s="35" t="n">
        <f aca="false">Assumptions!$C$20*IF(G$47&gt;=Assumptions!$C$26,1+Assumptions!$C$32,1)</f>
        <v>5.5</v>
      </c>
      <c r="H73" s="35" t="n">
        <f aca="false">Assumptions!$C$20*IF(H$47&gt;=Assumptions!$C$26,1+Assumptions!$C$32,1)</f>
        <v>5.5</v>
      </c>
      <c r="I73" s="35" t="n">
        <f aca="false">Assumptions!$C$20*IF(I$47&gt;=Assumptions!$C$26,1+Assumptions!$C$32,1)</f>
        <v>5.5</v>
      </c>
      <c r="J73" s="35" t="n">
        <f aca="false">Assumptions!$C$20*IF(J$47&gt;=Assumptions!$C$26,1+Assumptions!$C$32,1)</f>
        <v>5.5</v>
      </c>
      <c r="K73" s="35" t="n">
        <f aca="false">Assumptions!$C$20*IF(K$47&gt;=Assumptions!$C$26,1+Assumptions!$C$32,1)</f>
        <v>5.5</v>
      </c>
      <c r="L73" s="35" t="n">
        <f aca="false">Assumptions!$C$20*IF(L$47&gt;=Assumptions!$C$26,1+Assumptions!$C$32,1)</f>
        <v>5.5</v>
      </c>
      <c r="M73" s="35" t="n">
        <f aca="false">Assumptions!$C$20*IF(M$47&gt;=Assumptions!$C$26,1+Assumptions!$C$32,1)</f>
        <v>5.5</v>
      </c>
      <c r="N73" s="35" t="n">
        <f aca="false">Assumptions!$C$20*IF(N$47&gt;=Assumptions!$C$26,1+Assumptions!$C$32,1)</f>
        <v>5.5</v>
      </c>
      <c r="O73" s="35" t="n">
        <f aca="false">Assumptions!$C$20*IF(O$47&gt;=Assumptions!$C$26,1+Assumptions!$C$32,1)</f>
        <v>5.5</v>
      </c>
      <c r="P73" s="35" t="n">
        <f aca="false">Assumptions!$C$20*IF(P$47&gt;=Assumptions!$C$26,1+Assumptions!$C$32,1)</f>
        <v>5.5</v>
      </c>
      <c r="Q73" s="35" t="n">
        <f aca="false">Assumptions!$C$20*IF(Q$47&gt;=Assumptions!$C$26,1+Assumptions!$C$32,1)</f>
        <v>5.5</v>
      </c>
      <c r="R73" s="35" t="n">
        <f aca="false">Assumptions!$C$20*IF(R$47&gt;=Assumptions!$C$26,1+Assumptions!$C$32,1)</f>
        <v>5.5</v>
      </c>
      <c r="S73" s="35" t="n">
        <f aca="false">Assumptions!$C$20*IF(S$47&gt;=Assumptions!$C$26,1+Assumptions!$C$32,1)</f>
        <v>5.5</v>
      </c>
      <c r="T73" s="35" t="n">
        <f aca="false">Assumptions!$C$20*IF(T$47&gt;=Assumptions!$C$26,1+Assumptions!$C$32,1)</f>
        <v>5.5</v>
      </c>
      <c r="U73" s="35" t="n">
        <f aca="false">Assumptions!$C$20*IF(U$47&gt;=Assumptions!$C$26,1+Assumptions!$C$32,1)</f>
        <v>5.5</v>
      </c>
      <c r="V73" s="35" t="n">
        <f aca="false">Assumptions!$C$20*IF(V$47&gt;=Assumptions!$C$26,1+Assumptions!$C$32,1)</f>
        <v>5.665</v>
      </c>
      <c r="W73" s="35" t="n">
        <f aca="false">Assumptions!$C$20*IF(W$47&gt;=Assumptions!$C$26,1+Assumptions!$C$32,1)</f>
        <v>5.665</v>
      </c>
      <c r="X73" s="35" t="n">
        <f aca="false">Assumptions!$C$20*IF(X$47&gt;=Assumptions!$C$26,1+Assumptions!$C$32,1)</f>
        <v>5.665</v>
      </c>
      <c r="Y73" s="35" t="n">
        <f aca="false">Assumptions!$C$20*IF(Y$47&gt;=Assumptions!$C$26,1+Assumptions!$C$32,1)</f>
        <v>5.665</v>
      </c>
      <c r="Z73" s="35" t="n">
        <f aca="false">Assumptions!$C$20*IF(Z$47&gt;=Assumptions!$C$26,1+Assumptions!$C$32,1)</f>
        <v>5.665</v>
      </c>
      <c r="AA73" s="35" t="n">
        <f aca="false">Assumptions!$C$20*IF(AA$47&gt;=Assumptions!$C$26,1+Assumptions!$C$32,1)</f>
        <v>5.665</v>
      </c>
      <c r="AB73" s="40" t="n">
        <f aca="false">IF(AB49=0,0,AB54/AB49)</f>
        <v>5.5</v>
      </c>
      <c r="AC73" s="40" t="n">
        <f aca="false">IF(AC49=0,0,AC54/AC49)</f>
        <v>5.56371475158258</v>
      </c>
    </row>
    <row r="74" customFormat="false" ht="15" hidden="false" customHeight="false" outlineLevel="0" collapsed="false">
      <c r="A74" s="3" t="s">
        <v>475</v>
      </c>
      <c r="B74" s="3" t="s">
        <v>66</v>
      </c>
      <c r="D74" s="54" t="n">
        <f aca="false">IF(D$47&gt;=Assumptions!$C$26,Assumptions!$C$31,Assumptions!$C$12)</f>
        <v>0.04</v>
      </c>
      <c r="E74" s="54" t="n">
        <f aca="false">IF(E$47&gt;=Assumptions!$C$26,Assumptions!$C$31,Assumptions!$C$12)</f>
        <v>0.04</v>
      </c>
      <c r="F74" s="54" t="n">
        <f aca="false">IF(F$47&gt;=Assumptions!$C$26,Assumptions!$C$31,Assumptions!$C$12)</f>
        <v>0.04</v>
      </c>
      <c r="G74" s="54" t="n">
        <f aca="false">IF(G$47&gt;=Assumptions!$C$26,Assumptions!$C$31,Assumptions!$C$12)</f>
        <v>0.04</v>
      </c>
      <c r="H74" s="54" t="n">
        <f aca="false">IF(H$47&gt;=Assumptions!$C$26,Assumptions!$C$31,Assumptions!$C$12)</f>
        <v>0.04</v>
      </c>
      <c r="I74" s="54" t="n">
        <f aca="false">IF(I$47&gt;=Assumptions!$C$26,Assumptions!$C$31,Assumptions!$C$12)</f>
        <v>0.04</v>
      </c>
      <c r="J74" s="54" t="n">
        <f aca="false">IF(J$47&gt;=Assumptions!$C$26,Assumptions!$C$31,Assumptions!$C$12)</f>
        <v>0.04</v>
      </c>
      <c r="K74" s="54" t="n">
        <f aca="false">IF(K$47&gt;=Assumptions!$C$26,Assumptions!$C$31,Assumptions!$C$12)</f>
        <v>0.04</v>
      </c>
      <c r="L74" s="54" t="n">
        <f aca="false">IF(L$47&gt;=Assumptions!$C$26,Assumptions!$C$31,Assumptions!$C$12)</f>
        <v>0.04</v>
      </c>
      <c r="M74" s="54" t="n">
        <f aca="false">IF(M$47&gt;=Assumptions!$C$26,Assumptions!$C$31,Assumptions!$C$12)</f>
        <v>0.04</v>
      </c>
      <c r="N74" s="54" t="n">
        <f aca="false">IF(N$47&gt;=Assumptions!$C$26,Assumptions!$C$31,Assumptions!$C$12)</f>
        <v>0.04</v>
      </c>
      <c r="O74" s="54" t="n">
        <f aca="false">IF(O$47&gt;=Assumptions!$C$26,Assumptions!$C$31,Assumptions!$C$12)</f>
        <v>0.04</v>
      </c>
      <c r="P74" s="54" t="n">
        <f aca="false">IF(P$47&gt;=Assumptions!$C$26,Assumptions!$C$31,Assumptions!$C$12)</f>
        <v>0.04</v>
      </c>
      <c r="Q74" s="54" t="n">
        <f aca="false">IF(Q$47&gt;=Assumptions!$C$26,Assumptions!$C$31,Assumptions!$C$12)</f>
        <v>0.04</v>
      </c>
      <c r="R74" s="54" t="n">
        <f aca="false">IF(R$47&gt;=Assumptions!$C$26,Assumptions!$C$31,Assumptions!$C$12)</f>
        <v>0.04</v>
      </c>
      <c r="S74" s="54" t="n">
        <f aca="false">IF(S$47&gt;=Assumptions!$C$26,Assumptions!$C$31,Assumptions!$C$12)</f>
        <v>0.04</v>
      </c>
      <c r="T74" s="54" t="n">
        <f aca="false">IF(T$47&gt;=Assumptions!$C$26,Assumptions!$C$31,Assumptions!$C$12)</f>
        <v>0.04</v>
      </c>
      <c r="U74" s="54" t="n">
        <f aca="false">IF(U$47&gt;=Assumptions!$C$26,Assumptions!$C$31,Assumptions!$C$12)</f>
        <v>0.04</v>
      </c>
      <c r="V74" s="54" t="n">
        <f aca="false">IF(V$47&gt;=Assumptions!$C$26,Assumptions!$C$31,Assumptions!$C$12)</f>
        <v>0.04</v>
      </c>
      <c r="W74" s="54" t="n">
        <f aca="false">IF(W$47&gt;=Assumptions!$C$26,Assumptions!$C$31,Assumptions!$C$12)</f>
        <v>0.04</v>
      </c>
      <c r="X74" s="54" t="n">
        <f aca="false">IF(X$47&gt;=Assumptions!$C$26,Assumptions!$C$31,Assumptions!$C$12)</f>
        <v>0.04</v>
      </c>
      <c r="Y74" s="54" t="n">
        <f aca="false">IF(Y$47&gt;=Assumptions!$C$26,Assumptions!$C$31,Assumptions!$C$12)</f>
        <v>0.04</v>
      </c>
      <c r="Z74" s="54" t="n">
        <f aca="false">IF(Z$47&gt;=Assumptions!$C$26,Assumptions!$C$31,Assumptions!$C$12)</f>
        <v>0.04</v>
      </c>
      <c r="AA74" s="54" t="n">
        <f aca="false">IF(AA$47&gt;=Assumptions!$C$26,Assumptions!$C$31,Assumptions!$C$12)</f>
        <v>0.04</v>
      </c>
      <c r="AB74" s="34" t="n">
        <f aca="false">IF(AB51=0,0,AB55/AB51)</f>
        <v>0.04</v>
      </c>
      <c r="AC74" s="34" t="n">
        <f aca="false">IF(AC51=0,0,AC55/AC51)</f>
        <v>0.04</v>
      </c>
    </row>
    <row r="75" customFormat="false" ht="15" hidden="false" customHeight="false" outlineLevel="0" collapsed="false">
      <c r="A75" s="3" t="s">
        <v>476</v>
      </c>
      <c r="B75" s="3" t="s">
        <v>66</v>
      </c>
      <c r="D75" s="54" t="n">
        <f aca="false">IF(D$47&lt;=3,Assumptions!$C$13,IF(D$47&lt;=6,Assumptions!$C$14,IF(D$47&lt;=12,Assumptions!$C$15,IF(D$47&lt;Assumptions!$C$26,Assumptions!$C$16,Assumptions!$C$27))))</f>
        <v>0.37</v>
      </c>
      <c r="E75" s="54" t="n">
        <f aca="false">IF(E$47&lt;=3,Assumptions!$C$13,IF(E$47&lt;=6,Assumptions!$C$14,IF(E$47&lt;=12,Assumptions!$C$15,IF(E$47&lt;Assumptions!$C$26,Assumptions!$C$16,Assumptions!$C$27))))</f>
        <v>0.37</v>
      </c>
      <c r="F75" s="54" t="n">
        <f aca="false">IF(F$47&lt;=3,Assumptions!$C$13,IF(F$47&lt;=6,Assumptions!$C$14,IF(F$47&lt;=12,Assumptions!$C$15,IF(F$47&lt;Assumptions!$C$26,Assumptions!$C$16,Assumptions!$C$27))))</f>
        <v>0.37</v>
      </c>
      <c r="G75" s="54" t="n">
        <f aca="false">IF(G$47&lt;=3,Assumptions!$C$13,IF(G$47&lt;=6,Assumptions!$C$14,IF(G$47&lt;=12,Assumptions!$C$15,IF(G$47&lt;Assumptions!$C$26,Assumptions!$C$16,Assumptions!$C$27))))</f>
        <v>0.29</v>
      </c>
      <c r="H75" s="54" t="n">
        <f aca="false">IF(H$47&lt;=3,Assumptions!$C$13,IF(H$47&lt;=6,Assumptions!$C$14,IF(H$47&lt;=12,Assumptions!$C$15,IF(H$47&lt;Assumptions!$C$26,Assumptions!$C$16,Assumptions!$C$27))))</f>
        <v>0.29</v>
      </c>
      <c r="I75" s="54" t="n">
        <f aca="false">IF(I$47&lt;=3,Assumptions!$C$13,IF(I$47&lt;=6,Assumptions!$C$14,IF(I$47&lt;=12,Assumptions!$C$15,IF(I$47&lt;Assumptions!$C$26,Assumptions!$C$16,Assumptions!$C$27))))</f>
        <v>0.29</v>
      </c>
      <c r="J75" s="54" t="n">
        <f aca="false">IF(J$47&lt;=3,Assumptions!$C$13,IF(J$47&lt;=6,Assumptions!$C$14,IF(J$47&lt;=12,Assumptions!$C$15,IF(J$47&lt;Assumptions!$C$26,Assumptions!$C$16,Assumptions!$C$27))))</f>
        <v>0.22</v>
      </c>
      <c r="K75" s="54" t="n">
        <f aca="false">IF(K$47&lt;=3,Assumptions!$C$13,IF(K$47&lt;=6,Assumptions!$C$14,IF(K$47&lt;=12,Assumptions!$C$15,IF(K$47&lt;Assumptions!$C$26,Assumptions!$C$16,Assumptions!$C$27))))</f>
        <v>0.22</v>
      </c>
      <c r="L75" s="54" t="n">
        <f aca="false">IF(L$47&lt;=3,Assumptions!$C$13,IF(L$47&lt;=6,Assumptions!$C$14,IF(L$47&lt;=12,Assumptions!$C$15,IF(L$47&lt;Assumptions!$C$26,Assumptions!$C$16,Assumptions!$C$27))))</f>
        <v>0.22</v>
      </c>
      <c r="M75" s="54" t="n">
        <f aca="false">IF(M$47&lt;=3,Assumptions!$C$13,IF(M$47&lt;=6,Assumptions!$C$14,IF(M$47&lt;=12,Assumptions!$C$15,IF(M$47&lt;Assumptions!$C$26,Assumptions!$C$16,Assumptions!$C$27))))</f>
        <v>0.22</v>
      </c>
      <c r="N75" s="54" t="n">
        <f aca="false">IF(N$47&lt;=3,Assumptions!$C$13,IF(N$47&lt;=6,Assumptions!$C$14,IF(N$47&lt;=12,Assumptions!$C$15,IF(N$47&lt;Assumptions!$C$26,Assumptions!$C$16,Assumptions!$C$27))))</f>
        <v>0.22</v>
      </c>
      <c r="O75" s="54" t="n">
        <f aca="false">IF(O$47&lt;=3,Assumptions!$C$13,IF(O$47&lt;=6,Assumptions!$C$14,IF(O$47&lt;=12,Assumptions!$C$15,IF(O$47&lt;Assumptions!$C$26,Assumptions!$C$16,Assumptions!$C$27))))</f>
        <v>0.22</v>
      </c>
      <c r="P75" s="54" t="n">
        <f aca="false">IF(P$47&lt;=3,Assumptions!$C$13,IF(P$47&lt;=6,Assumptions!$C$14,IF(P$47&lt;=12,Assumptions!$C$15,IF(P$47&lt;Assumptions!$C$26,Assumptions!$C$16,Assumptions!$C$27))))</f>
        <v>0.18</v>
      </c>
      <c r="Q75" s="54" t="n">
        <f aca="false">IF(Q$47&lt;=3,Assumptions!$C$13,IF(Q$47&lt;=6,Assumptions!$C$14,IF(Q$47&lt;=12,Assumptions!$C$15,IF(Q$47&lt;Assumptions!$C$26,Assumptions!$C$16,Assumptions!$C$27))))</f>
        <v>0.18</v>
      </c>
      <c r="R75" s="54" t="n">
        <f aca="false">IF(R$47&lt;=3,Assumptions!$C$13,IF(R$47&lt;=6,Assumptions!$C$14,IF(R$47&lt;=12,Assumptions!$C$15,IF(R$47&lt;Assumptions!$C$26,Assumptions!$C$16,Assumptions!$C$27))))</f>
        <v>0.18</v>
      </c>
      <c r="S75" s="54" t="n">
        <f aca="false">IF(S$47&lt;=3,Assumptions!$C$13,IF(S$47&lt;=6,Assumptions!$C$14,IF(S$47&lt;=12,Assumptions!$C$15,IF(S$47&lt;Assumptions!$C$26,Assumptions!$C$16,Assumptions!$C$27))))</f>
        <v>0.18</v>
      </c>
      <c r="T75" s="54" t="n">
        <f aca="false">IF(T$47&lt;=3,Assumptions!$C$13,IF(T$47&lt;=6,Assumptions!$C$14,IF(T$47&lt;=12,Assumptions!$C$15,IF(T$47&lt;Assumptions!$C$26,Assumptions!$C$16,Assumptions!$C$27))))</f>
        <v>0.18</v>
      </c>
      <c r="U75" s="54" t="n">
        <f aca="false">IF(U$47&lt;=3,Assumptions!$C$13,IF(U$47&lt;=6,Assumptions!$C$14,IF(U$47&lt;=12,Assumptions!$C$15,IF(U$47&lt;Assumptions!$C$26,Assumptions!$C$16,Assumptions!$C$27))))</f>
        <v>0.18</v>
      </c>
      <c r="V75" s="54" t="n">
        <f aca="false">IF(V$47&lt;=3,Assumptions!$C$13,IF(V$47&lt;=6,Assumptions!$C$14,IF(V$47&lt;=12,Assumptions!$C$15,IF(V$47&lt;Assumptions!$C$26,Assumptions!$C$16,Assumptions!$C$27))))</f>
        <v>0.18</v>
      </c>
      <c r="W75" s="54" t="n">
        <f aca="false">IF(W$47&lt;=3,Assumptions!$C$13,IF(W$47&lt;=6,Assumptions!$C$14,IF(W$47&lt;=12,Assumptions!$C$15,IF(W$47&lt;Assumptions!$C$26,Assumptions!$C$16,Assumptions!$C$27))))</f>
        <v>0.18</v>
      </c>
      <c r="X75" s="54" t="n">
        <f aca="false">IF(X$47&lt;=3,Assumptions!$C$13,IF(X$47&lt;=6,Assumptions!$C$14,IF(X$47&lt;=12,Assumptions!$C$15,IF(X$47&lt;Assumptions!$C$26,Assumptions!$C$16,Assumptions!$C$27))))</f>
        <v>0.18</v>
      </c>
      <c r="Y75" s="54" t="n">
        <f aca="false">IF(Y$47&lt;=3,Assumptions!$C$13,IF(Y$47&lt;=6,Assumptions!$C$14,IF(Y$47&lt;=12,Assumptions!$C$15,IF(Y$47&lt;Assumptions!$C$26,Assumptions!$C$16,Assumptions!$C$27))))</f>
        <v>0.18</v>
      </c>
      <c r="Z75" s="54" t="n">
        <f aca="false">IF(Z$47&lt;=3,Assumptions!$C$13,IF(Z$47&lt;=6,Assumptions!$C$14,IF(Z$47&lt;=12,Assumptions!$C$15,IF(Z$47&lt;Assumptions!$C$26,Assumptions!$C$16,Assumptions!$C$27))))</f>
        <v>0.18</v>
      </c>
      <c r="AA75" s="54" t="n">
        <f aca="false">IF(AA$47&lt;=3,Assumptions!$C$13,IF(AA$47&lt;=6,Assumptions!$C$14,IF(AA$47&lt;=12,Assumptions!$C$15,IF(AA$47&lt;Assumptions!$C$26,Assumptions!$C$16,Assumptions!$C$27))))</f>
        <v>0.18</v>
      </c>
      <c r="AB75" s="34" t="n">
        <f aca="false">IF(AB51=0,0,AB57/AB51)</f>
        <v>0.241274426508071</v>
      </c>
      <c r="AC75" s="34" t="n">
        <f aca="false">IF(AC51=0,0,AC57/AC51)</f>
        <v>0.18</v>
      </c>
    </row>
    <row r="77" customFormat="false" ht="15" hidden="false" customHeight="false" outlineLevel="0" collapsed="false">
      <c r="A77" s="9" t="s">
        <v>477</v>
      </c>
    </row>
    <row r="78" customFormat="false" ht="15" hidden="false" customHeight="false" outlineLevel="0" collapsed="false">
      <c r="A78" s="9" t="s">
        <v>478</v>
      </c>
      <c r="B78" s="3" t="s">
        <v>62</v>
      </c>
      <c r="D78" s="61" t="n">
        <f aca="false">IF(D$47&gt;=13,D51*Assumptions!$C$49,0)</f>
        <v>0</v>
      </c>
      <c r="E78" s="61" t="n">
        <f aca="false">IF(E$47&gt;=13,E51*Assumptions!$C$49,0)</f>
        <v>0</v>
      </c>
      <c r="F78" s="61" t="n">
        <f aca="false">IF(F$47&gt;=13,F51*Assumptions!$C$49,0)</f>
        <v>0</v>
      </c>
      <c r="G78" s="61" t="n">
        <f aca="false">IF(G$47&gt;=13,G51*Assumptions!$C$49,0)</f>
        <v>0</v>
      </c>
      <c r="H78" s="61" t="n">
        <f aca="false">IF(H$47&gt;=13,H51*Assumptions!$C$49,0)</f>
        <v>0</v>
      </c>
      <c r="I78" s="61" t="n">
        <f aca="false">IF(I$47&gt;=13,I51*Assumptions!$C$49,0)</f>
        <v>0</v>
      </c>
      <c r="J78" s="61" t="n">
        <f aca="false">IF(J$47&gt;=13,J51*Assumptions!$C$49,0)</f>
        <v>0</v>
      </c>
      <c r="K78" s="61" t="n">
        <f aca="false">IF(K$47&gt;=13,K51*Assumptions!$C$49,0)</f>
        <v>0</v>
      </c>
      <c r="L78" s="61" t="n">
        <f aca="false">IF(L$47&gt;=13,L51*Assumptions!$C$49,0)</f>
        <v>0</v>
      </c>
      <c r="M78" s="61" t="n">
        <f aca="false">IF(M$47&gt;=13,M51*Assumptions!$C$49,0)</f>
        <v>0</v>
      </c>
      <c r="N78" s="61" t="n">
        <f aca="false">IF(N$47&gt;=13,N51*Assumptions!$C$49,0)</f>
        <v>0</v>
      </c>
      <c r="O78" s="61" t="n">
        <f aca="false">IF(O$47&gt;=13,O51*Assumptions!$C$49,0)</f>
        <v>0</v>
      </c>
      <c r="P78" s="61" t="n">
        <f aca="false">IF(P$47&gt;=13,P51*Assumptions!$C$49,0)</f>
        <v>4104</v>
      </c>
      <c r="Q78" s="61" t="n">
        <f aca="false">IF(Q$47&gt;=13,Q51*Assumptions!$C$49,0)</f>
        <v>4468.8</v>
      </c>
      <c r="R78" s="61" t="n">
        <f aca="false">IF(R$47&gt;=13,R51*Assumptions!$C$49,0)</f>
        <v>4742.4</v>
      </c>
      <c r="S78" s="61" t="n">
        <f aca="false">IF(S$47&gt;=13,S51*Assumptions!$C$49,0)</f>
        <v>5016</v>
      </c>
      <c r="T78" s="61" t="n">
        <f aca="false">IF(T$47&gt;=13,T51*Assumptions!$C$49,0)</f>
        <v>5289.6</v>
      </c>
      <c r="U78" s="61" t="n">
        <f aca="false">IF(U$47&gt;=13,U51*Assumptions!$C$49,0)</f>
        <v>5563.2</v>
      </c>
      <c r="V78" s="61" t="n">
        <f aca="false">IF(V$47&gt;=13,V51*Assumptions!$C$49,0)</f>
        <v>556.32</v>
      </c>
      <c r="W78" s="61" t="n">
        <f aca="false">IF(W$47&gt;=13,W51*Assumptions!$C$49,0)</f>
        <v>556.32</v>
      </c>
      <c r="X78" s="61" t="n">
        <f aca="false">IF(X$47&gt;=13,X51*Assumptions!$C$49,0)</f>
        <v>556.32</v>
      </c>
      <c r="Y78" s="61" t="n">
        <f aca="false">IF(Y$47&gt;=13,Y51*Assumptions!$C$49,0)</f>
        <v>5563.2</v>
      </c>
      <c r="Z78" s="61" t="n">
        <f aca="false">IF(Z$47&gt;=13,Z51*Assumptions!$C$49,0)</f>
        <v>5563.2</v>
      </c>
      <c r="AA78" s="61" t="n">
        <f aca="false">IF(AA$47&gt;=13,AA51*Assumptions!$C$49,0)</f>
        <v>5563.2</v>
      </c>
      <c r="AB78" s="29" t="n">
        <f aca="false">SUM(D78:O78)</f>
        <v>0</v>
      </c>
      <c r="AC78" s="29" t="n">
        <f aca="false">SUM(P78:AA78)</f>
        <v>47542.56</v>
      </c>
    </row>
    <row r="79" customFormat="false" ht="15" hidden="false" customHeight="false" outlineLevel="0" collapsed="false">
      <c r="A79" s="3" t="s">
        <v>479</v>
      </c>
      <c r="B79" s="3" t="s">
        <v>95</v>
      </c>
      <c r="D79" s="31" t="n">
        <f aca="false">IF(D50=0,0,D78/D50)</f>
        <v>0</v>
      </c>
      <c r="E79" s="31" t="n">
        <f aca="false">IF(E50=0,0,E78/E50)</f>
        <v>0</v>
      </c>
      <c r="F79" s="31" t="n">
        <f aca="false">IF(F50=0,0,F78/F50)</f>
        <v>0</v>
      </c>
      <c r="G79" s="31" t="n">
        <f aca="false">IF(G50=0,0,G78/G50)</f>
        <v>0</v>
      </c>
      <c r="H79" s="31" t="n">
        <f aca="false">IF(H50=0,0,H78/H50)</f>
        <v>0</v>
      </c>
      <c r="I79" s="31" t="n">
        <f aca="false">IF(I50=0,0,I78/I50)</f>
        <v>0</v>
      </c>
      <c r="J79" s="31" t="n">
        <f aca="false">IF(J50=0,0,J78/J50)</f>
        <v>0</v>
      </c>
      <c r="K79" s="31" t="n">
        <f aca="false">IF(K50=0,0,K78/K50)</f>
        <v>0</v>
      </c>
      <c r="L79" s="31" t="n">
        <f aca="false">IF(L50=0,0,L78/L50)</f>
        <v>0</v>
      </c>
      <c r="M79" s="31" t="n">
        <f aca="false">IF(M50=0,0,M78/M50)</f>
        <v>0</v>
      </c>
      <c r="N79" s="31" t="n">
        <f aca="false">IF(N50=0,0,N78/N50)</f>
        <v>0</v>
      </c>
      <c r="O79" s="31" t="n">
        <f aca="false">IF(O50=0,0,O78/O50)</f>
        <v>0</v>
      </c>
      <c r="P79" s="31" t="n">
        <f aca="false">IF(P50=0,0,P78/P50)</f>
        <v>108</v>
      </c>
      <c r="Q79" s="31" t="n">
        <f aca="false">IF(Q50=0,0,Q78/Q50)</f>
        <v>117.6</v>
      </c>
      <c r="R79" s="31" t="n">
        <f aca="false">IF(R50=0,0,R78/R50)</f>
        <v>124.8</v>
      </c>
      <c r="S79" s="31" t="n">
        <f aca="false">IF(S50=0,0,S78/S50)</f>
        <v>132</v>
      </c>
      <c r="T79" s="31" t="n">
        <f aca="false">IF(T50=0,0,T78/T50)</f>
        <v>139.2</v>
      </c>
      <c r="U79" s="31" t="n">
        <f aca="false">IF(U50=0,0,U78/U50)</f>
        <v>146.4</v>
      </c>
      <c r="V79" s="31" t="n">
        <f aca="false">IF(V50=0,0,V78/V50)</f>
        <v>14.64</v>
      </c>
      <c r="W79" s="31" t="n">
        <f aca="false">IF(W50=0,0,W78/W50)</f>
        <v>14.64</v>
      </c>
      <c r="X79" s="31" t="n">
        <f aca="false">IF(X50=0,0,X78/X50)</f>
        <v>14.64</v>
      </c>
      <c r="Y79" s="31" t="n">
        <f aca="false">IF(Y50=0,0,Y78/Y50)</f>
        <v>146.4</v>
      </c>
      <c r="Z79" s="31" t="n">
        <f aca="false">IF(Z50=0,0,Z78/Z50)</f>
        <v>146.4</v>
      </c>
      <c r="AA79" s="31" t="n">
        <f aca="false">IF(AA50=0,0,AA78/AA50)</f>
        <v>146.4</v>
      </c>
      <c r="AB79" s="31" t="n">
        <f aca="false">SUM(D79:O79)</f>
        <v>0</v>
      </c>
      <c r="AC79" s="31" t="n">
        <f aca="false">SUM(P79:AA79)</f>
        <v>1251.12</v>
      </c>
    </row>
    <row r="80" customFormat="false" ht="15" hidden="false" customHeight="false" outlineLevel="0" collapsed="false">
      <c r="A80" s="3" t="s">
        <v>480</v>
      </c>
      <c r="B80" s="3" t="s">
        <v>62</v>
      </c>
      <c r="D80" s="38" t="n">
        <f aca="false">D78*D72</f>
        <v>0</v>
      </c>
      <c r="E80" s="38" t="n">
        <f aca="false">E78*E72</f>
        <v>0</v>
      </c>
      <c r="F80" s="38" t="n">
        <f aca="false">F78*F72</f>
        <v>0</v>
      </c>
      <c r="G80" s="38" t="n">
        <f aca="false">G78*G72</f>
        <v>0</v>
      </c>
      <c r="H80" s="38" t="n">
        <f aca="false">H78*H72</f>
        <v>0</v>
      </c>
      <c r="I80" s="38" t="n">
        <f aca="false">I78*I72</f>
        <v>0</v>
      </c>
      <c r="J80" s="38" t="n">
        <f aca="false">J78*J72</f>
        <v>0</v>
      </c>
      <c r="K80" s="38" t="n">
        <f aca="false">K78*K72</f>
        <v>0</v>
      </c>
      <c r="L80" s="38" t="n">
        <f aca="false">L78*L72</f>
        <v>0</v>
      </c>
      <c r="M80" s="38" t="n">
        <f aca="false">M78*M72</f>
        <v>0</v>
      </c>
      <c r="N80" s="38" t="n">
        <f aca="false">N78*N72</f>
        <v>0</v>
      </c>
      <c r="O80" s="38" t="n">
        <f aca="false">O78*O72</f>
        <v>0</v>
      </c>
      <c r="P80" s="38" t="n">
        <f aca="false">P78*P72</f>
        <v>1764.72</v>
      </c>
      <c r="Q80" s="38" t="n">
        <f aca="false">Q78*Q72</f>
        <v>1921.584</v>
      </c>
      <c r="R80" s="38" t="n">
        <f aca="false">R78*R72</f>
        <v>2039.232</v>
      </c>
      <c r="S80" s="38" t="n">
        <f aca="false">S78*S72</f>
        <v>2156.88</v>
      </c>
      <c r="T80" s="38" t="n">
        <f aca="false">T78*T72</f>
        <v>2274.528</v>
      </c>
      <c r="U80" s="38" t="n">
        <f aca="false">U78*U72</f>
        <v>2392.176</v>
      </c>
      <c r="V80" s="38" t="n">
        <f aca="false">V78*V72</f>
        <v>239.2176</v>
      </c>
      <c r="W80" s="38" t="n">
        <f aca="false">W78*W72</f>
        <v>239.2176</v>
      </c>
      <c r="X80" s="38" t="n">
        <f aca="false">X78*X72</f>
        <v>239.2176</v>
      </c>
      <c r="Y80" s="38" t="n">
        <f aca="false">Y78*Y72</f>
        <v>2392.176</v>
      </c>
      <c r="Z80" s="38" t="n">
        <f aca="false">Z78*Z72</f>
        <v>2392.176</v>
      </c>
      <c r="AA80" s="38" t="n">
        <f aca="false">AA78*AA72</f>
        <v>2392.176</v>
      </c>
      <c r="AB80" s="38" t="n">
        <f aca="false">SUM(D80:O80)</f>
        <v>0</v>
      </c>
      <c r="AC80" s="38" t="n">
        <f aca="false">SUM(P80:AA80)</f>
        <v>20443.3008</v>
      </c>
    </row>
    <row r="81" customFormat="false" ht="15" hidden="false" customHeight="false" outlineLevel="0" collapsed="false">
      <c r="A81" s="3" t="s">
        <v>481</v>
      </c>
      <c r="B81" s="3" t="s">
        <v>62</v>
      </c>
      <c r="D81" s="60" t="n">
        <f aca="false">D78*Assumptions!$C$66</f>
        <v>0</v>
      </c>
      <c r="E81" s="60" t="n">
        <f aca="false">E78*Assumptions!$C$66</f>
        <v>0</v>
      </c>
      <c r="F81" s="60" t="n">
        <f aca="false">F78*Assumptions!$C$66</f>
        <v>0</v>
      </c>
      <c r="G81" s="60" t="n">
        <f aca="false">G78*Assumptions!$C$66</f>
        <v>0</v>
      </c>
      <c r="H81" s="60" t="n">
        <f aca="false">H78*Assumptions!$C$66</f>
        <v>0</v>
      </c>
      <c r="I81" s="60" t="n">
        <f aca="false">I78*Assumptions!$C$66</f>
        <v>0</v>
      </c>
      <c r="J81" s="60" t="n">
        <f aca="false">J78*Assumptions!$C$66</f>
        <v>0</v>
      </c>
      <c r="K81" s="60" t="n">
        <f aca="false">K78*Assumptions!$C$66</f>
        <v>0</v>
      </c>
      <c r="L81" s="60" t="n">
        <f aca="false">L78*Assumptions!$C$66</f>
        <v>0</v>
      </c>
      <c r="M81" s="60" t="n">
        <f aca="false">M78*Assumptions!$C$66</f>
        <v>0</v>
      </c>
      <c r="N81" s="60" t="n">
        <f aca="false">N78*Assumptions!$C$66</f>
        <v>0</v>
      </c>
      <c r="O81" s="60" t="n">
        <f aca="false">O78*Assumptions!$C$66</f>
        <v>0</v>
      </c>
      <c r="P81" s="60" t="n">
        <f aca="false">P78*Assumptions!$C$66</f>
        <v>533.52</v>
      </c>
      <c r="Q81" s="60" t="n">
        <f aca="false">Q78*Assumptions!$C$66</f>
        <v>580.944</v>
      </c>
      <c r="R81" s="60" t="n">
        <f aca="false">R78*Assumptions!$C$66</f>
        <v>616.512</v>
      </c>
      <c r="S81" s="60" t="n">
        <f aca="false">S78*Assumptions!$C$66</f>
        <v>652.08</v>
      </c>
      <c r="T81" s="60" t="n">
        <f aca="false">T78*Assumptions!$C$66</f>
        <v>687.648</v>
      </c>
      <c r="U81" s="60" t="n">
        <f aca="false">U78*Assumptions!$C$66</f>
        <v>723.216</v>
      </c>
      <c r="V81" s="60" t="n">
        <f aca="false">V78*Assumptions!$C$66</f>
        <v>72.3216</v>
      </c>
      <c r="W81" s="60" t="n">
        <f aca="false">W78*Assumptions!$C$66</f>
        <v>72.3216</v>
      </c>
      <c r="X81" s="60" t="n">
        <f aca="false">X78*Assumptions!$C$66</f>
        <v>72.3216</v>
      </c>
      <c r="Y81" s="60" t="n">
        <f aca="false">Y78*Assumptions!$C$66</f>
        <v>723.216</v>
      </c>
      <c r="Z81" s="60" t="n">
        <f aca="false">Z78*Assumptions!$C$66</f>
        <v>723.216</v>
      </c>
      <c r="AA81" s="60" t="n">
        <f aca="false">AA78*Assumptions!$C$66</f>
        <v>723.216</v>
      </c>
      <c r="AB81" s="38" t="n">
        <f aca="false">SUM(D81:O81)</f>
        <v>0</v>
      </c>
      <c r="AC81" s="38" t="n">
        <f aca="false">SUM(P81:AA81)</f>
        <v>6180.5328</v>
      </c>
    </row>
    <row r="82" customFormat="false" ht="15" hidden="false" customHeight="false" outlineLevel="0" collapsed="false">
      <c r="A82" s="3" t="s">
        <v>482</v>
      </c>
      <c r="B82" s="3" t="s">
        <v>62</v>
      </c>
      <c r="D82" s="60" t="n">
        <f aca="false">D79*Assumptions!$C$67</f>
        <v>0</v>
      </c>
      <c r="E82" s="60" t="n">
        <f aca="false">E79*Assumptions!$C$67</f>
        <v>0</v>
      </c>
      <c r="F82" s="60" t="n">
        <f aca="false">F79*Assumptions!$C$67</f>
        <v>0</v>
      </c>
      <c r="G82" s="60" t="n">
        <f aca="false">G79*Assumptions!$C$67</f>
        <v>0</v>
      </c>
      <c r="H82" s="60" t="n">
        <f aca="false">H79*Assumptions!$C$67</f>
        <v>0</v>
      </c>
      <c r="I82" s="60" t="n">
        <f aca="false">I79*Assumptions!$C$67</f>
        <v>0</v>
      </c>
      <c r="J82" s="60" t="n">
        <f aca="false">J79*Assumptions!$C$67</f>
        <v>0</v>
      </c>
      <c r="K82" s="60" t="n">
        <f aca="false">K79*Assumptions!$C$67</f>
        <v>0</v>
      </c>
      <c r="L82" s="60" t="n">
        <f aca="false">L79*Assumptions!$C$67</f>
        <v>0</v>
      </c>
      <c r="M82" s="60" t="n">
        <f aca="false">M79*Assumptions!$C$67</f>
        <v>0</v>
      </c>
      <c r="N82" s="60" t="n">
        <f aca="false">N79*Assumptions!$C$67</f>
        <v>0</v>
      </c>
      <c r="O82" s="60" t="n">
        <f aca="false">O79*Assumptions!$C$67</f>
        <v>0</v>
      </c>
      <c r="P82" s="60" t="n">
        <f aca="false">P79*Assumptions!$C$67</f>
        <v>702</v>
      </c>
      <c r="Q82" s="60" t="n">
        <f aca="false">Q79*Assumptions!$C$67</f>
        <v>764.4</v>
      </c>
      <c r="R82" s="60" t="n">
        <f aca="false">R79*Assumptions!$C$67</f>
        <v>811.2</v>
      </c>
      <c r="S82" s="60" t="n">
        <f aca="false">S79*Assumptions!$C$67</f>
        <v>858</v>
      </c>
      <c r="T82" s="60" t="n">
        <f aca="false">T79*Assumptions!$C$67</f>
        <v>904.8</v>
      </c>
      <c r="U82" s="60" t="n">
        <f aca="false">U79*Assumptions!$C$67</f>
        <v>951.6</v>
      </c>
      <c r="V82" s="60" t="n">
        <f aca="false">V79*Assumptions!$C$67</f>
        <v>95.16</v>
      </c>
      <c r="W82" s="60" t="n">
        <f aca="false">W79*Assumptions!$C$67</f>
        <v>95.16</v>
      </c>
      <c r="X82" s="60" t="n">
        <f aca="false">X79*Assumptions!$C$67</f>
        <v>95.16</v>
      </c>
      <c r="Y82" s="60" t="n">
        <f aca="false">Y79*Assumptions!$C$67</f>
        <v>951.6</v>
      </c>
      <c r="Z82" s="60" t="n">
        <f aca="false">Z79*Assumptions!$C$67</f>
        <v>951.6</v>
      </c>
      <c r="AA82" s="60" t="n">
        <f aca="false">AA79*Assumptions!$C$67</f>
        <v>951.6</v>
      </c>
      <c r="AB82" s="38" t="n">
        <f aca="false">SUM(D82:O82)</f>
        <v>0</v>
      </c>
      <c r="AC82" s="38" t="n">
        <f aca="false">SUM(P82:AA82)</f>
        <v>8132.28</v>
      </c>
    </row>
    <row r="83" customFormat="false" ht="15" hidden="false" customHeight="false" outlineLevel="0" collapsed="false">
      <c r="A83" s="3" t="s">
        <v>483</v>
      </c>
      <c r="B83" s="3" t="s">
        <v>62</v>
      </c>
      <c r="D83" s="60" t="n">
        <f aca="false">D78*Assumptions!$C$68</f>
        <v>0</v>
      </c>
      <c r="E83" s="60" t="n">
        <f aca="false">E78*Assumptions!$C$68</f>
        <v>0</v>
      </c>
      <c r="F83" s="60" t="n">
        <f aca="false">F78*Assumptions!$C$68</f>
        <v>0</v>
      </c>
      <c r="G83" s="60" t="n">
        <f aca="false">G78*Assumptions!$C$68</f>
        <v>0</v>
      </c>
      <c r="H83" s="60" t="n">
        <f aca="false">H78*Assumptions!$C$68</f>
        <v>0</v>
      </c>
      <c r="I83" s="60" t="n">
        <f aca="false">I78*Assumptions!$C$68</f>
        <v>0</v>
      </c>
      <c r="J83" s="60" t="n">
        <f aca="false">J78*Assumptions!$C$68</f>
        <v>0</v>
      </c>
      <c r="K83" s="60" t="n">
        <f aca="false">K78*Assumptions!$C$68</f>
        <v>0</v>
      </c>
      <c r="L83" s="60" t="n">
        <f aca="false">L78*Assumptions!$C$68</f>
        <v>0</v>
      </c>
      <c r="M83" s="60" t="n">
        <f aca="false">M78*Assumptions!$C$68</f>
        <v>0</v>
      </c>
      <c r="N83" s="60" t="n">
        <f aca="false">N78*Assumptions!$C$68</f>
        <v>0</v>
      </c>
      <c r="O83" s="60" t="n">
        <f aca="false">O78*Assumptions!$C$68</f>
        <v>0</v>
      </c>
      <c r="P83" s="60" t="n">
        <f aca="false">P78*Assumptions!$C$68</f>
        <v>205.2</v>
      </c>
      <c r="Q83" s="60" t="n">
        <f aca="false">Q78*Assumptions!$C$68</f>
        <v>223.44</v>
      </c>
      <c r="R83" s="60" t="n">
        <f aca="false">R78*Assumptions!$C$68</f>
        <v>237.12</v>
      </c>
      <c r="S83" s="60" t="n">
        <f aca="false">S78*Assumptions!$C$68</f>
        <v>250.8</v>
      </c>
      <c r="T83" s="60" t="n">
        <f aca="false">T78*Assumptions!$C$68</f>
        <v>264.48</v>
      </c>
      <c r="U83" s="60" t="n">
        <f aca="false">U78*Assumptions!$C$68</f>
        <v>278.16</v>
      </c>
      <c r="V83" s="60" t="n">
        <f aca="false">V78*Assumptions!$C$68</f>
        <v>27.816</v>
      </c>
      <c r="W83" s="60" t="n">
        <f aca="false">W78*Assumptions!$C$68</f>
        <v>27.816</v>
      </c>
      <c r="X83" s="60" t="n">
        <f aca="false">X78*Assumptions!$C$68</f>
        <v>27.816</v>
      </c>
      <c r="Y83" s="60" t="n">
        <f aca="false">Y78*Assumptions!$C$68</f>
        <v>278.16</v>
      </c>
      <c r="Z83" s="60" t="n">
        <f aca="false">Z78*Assumptions!$C$68</f>
        <v>278.16</v>
      </c>
      <c r="AA83" s="60" t="n">
        <f aca="false">AA78*Assumptions!$C$68</f>
        <v>278.16</v>
      </c>
      <c r="AB83" s="38" t="n">
        <f aca="false">SUM(D83:O83)</f>
        <v>0</v>
      </c>
      <c r="AC83" s="38" t="n">
        <f aca="false">SUM(P83:AA83)</f>
        <v>2377.128</v>
      </c>
    </row>
    <row r="84" customFormat="false" ht="15" hidden="false" customHeight="false" outlineLevel="0" collapsed="false">
      <c r="A84" s="3" t="s">
        <v>484</v>
      </c>
      <c r="B84" s="3" t="s">
        <v>62</v>
      </c>
      <c r="D84" s="60" t="n">
        <f aca="false">D78*Assumptions!$C$69</f>
        <v>0</v>
      </c>
      <c r="E84" s="60" t="n">
        <f aca="false">E78*Assumptions!$C$69</f>
        <v>0</v>
      </c>
      <c r="F84" s="60" t="n">
        <f aca="false">F78*Assumptions!$C$69</f>
        <v>0</v>
      </c>
      <c r="G84" s="60" t="n">
        <f aca="false">G78*Assumptions!$C$69</f>
        <v>0</v>
      </c>
      <c r="H84" s="60" t="n">
        <f aca="false">H78*Assumptions!$C$69</f>
        <v>0</v>
      </c>
      <c r="I84" s="60" t="n">
        <f aca="false">I78*Assumptions!$C$69</f>
        <v>0</v>
      </c>
      <c r="J84" s="60" t="n">
        <f aca="false">J78*Assumptions!$C$69</f>
        <v>0</v>
      </c>
      <c r="K84" s="60" t="n">
        <f aca="false">K78*Assumptions!$C$69</f>
        <v>0</v>
      </c>
      <c r="L84" s="60" t="n">
        <f aca="false">L78*Assumptions!$C$69</f>
        <v>0</v>
      </c>
      <c r="M84" s="60" t="n">
        <f aca="false">M78*Assumptions!$C$69</f>
        <v>0</v>
      </c>
      <c r="N84" s="60" t="n">
        <f aca="false">N78*Assumptions!$C$69</f>
        <v>0</v>
      </c>
      <c r="O84" s="60" t="n">
        <f aca="false">O78*Assumptions!$C$69</f>
        <v>0</v>
      </c>
      <c r="P84" s="60" t="n">
        <f aca="false">P78*Assumptions!$C$69</f>
        <v>123.12</v>
      </c>
      <c r="Q84" s="60" t="n">
        <f aca="false">Q78*Assumptions!$C$69</f>
        <v>134.064</v>
      </c>
      <c r="R84" s="60" t="n">
        <f aca="false">R78*Assumptions!$C$69</f>
        <v>142.272</v>
      </c>
      <c r="S84" s="60" t="n">
        <f aca="false">S78*Assumptions!$C$69</f>
        <v>150.48</v>
      </c>
      <c r="T84" s="60" t="n">
        <f aca="false">T78*Assumptions!$C$69</f>
        <v>158.688</v>
      </c>
      <c r="U84" s="60" t="n">
        <f aca="false">U78*Assumptions!$C$69</f>
        <v>166.896</v>
      </c>
      <c r="V84" s="60" t="n">
        <f aca="false">V78*Assumptions!$C$69</f>
        <v>16.6896</v>
      </c>
      <c r="W84" s="60" t="n">
        <f aca="false">W78*Assumptions!$C$69</f>
        <v>16.6896</v>
      </c>
      <c r="X84" s="60" t="n">
        <f aca="false">X78*Assumptions!$C$69</f>
        <v>16.6896</v>
      </c>
      <c r="Y84" s="60" t="n">
        <f aca="false">Y78*Assumptions!$C$69</f>
        <v>166.896</v>
      </c>
      <c r="Z84" s="60" t="n">
        <f aca="false">Z78*Assumptions!$C$69</f>
        <v>166.896</v>
      </c>
      <c r="AA84" s="60" t="n">
        <f aca="false">AA78*Assumptions!$C$69</f>
        <v>166.896</v>
      </c>
      <c r="AB84" s="38" t="n">
        <f aca="false">SUM(D84:O84)</f>
        <v>0</v>
      </c>
      <c r="AC84" s="38" t="n">
        <f aca="false">SUM(P84:AA84)</f>
        <v>1426.2768</v>
      </c>
    </row>
    <row r="85" customFormat="false" ht="15" hidden="false" customHeight="false" outlineLevel="0" collapsed="false">
      <c r="A85" s="9" t="s">
        <v>485</v>
      </c>
      <c r="B85" s="3" t="s">
        <v>62</v>
      </c>
      <c r="D85" s="29" t="n">
        <f aca="false">D78-D80-D81-D82-D83-D84</f>
        <v>0</v>
      </c>
      <c r="E85" s="29" t="n">
        <f aca="false">E78-E80-E81-E82-E83-E84</f>
        <v>0</v>
      </c>
      <c r="F85" s="29" t="n">
        <f aca="false">F78-F80-F81-F82-F83-F84</f>
        <v>0</v>
      </c>
      <c r="G85" s="29" t="n">
        <f aca="false">G78-G80-G81-G82-G83-G84</f>
        <v>0</v>
      </c>
      <c r="H85" s="29" t="n">
        <f aca="false">H78-H80-H81-H82-H83-H84</f>
        <v>0</v>
      </c>
      <c r="I85" s="29" t="n">
        <f aca="false">I78-I80-I81-I82-I83-I84</f>
        <v>0</v>
      </c>
      <c r="J85" s="29" t="n">
        <f aca="false">J78-J80-J81-J82-J83-J84</f>
        <v>0</v>
      </c>
      <c r="K85" s="29" t="n">
        <f aca="false">K78-K80-K81-K82-K83-K84</f>
        <v>0</v>
      </c>
      <c r="L85" s="29" t="n">
        <f aca="false">L78-L80-L81-L82-L83-L84</f>
        <v>0</v>
      </c>
      <c r="M85" s="29" t="n">
        <f aca="false">M78-M80-M81-M82-M83-M84</f>
        <v>0</v>
      </c>
      <c r="N85" s="29" t="n">
        <f aca="false">N78-N80-N81-N82-N83-N84</f>
        <v>0</v>
      </c>
      <c r="O85" s="29" t="n">
        <f aca="false">O78-O80-O81-O82-O83-O84</f>
        <v>0</v>
      </c>
      <c r="P85" s="29" t="n">
        <f aca="false">P78-P80-P81-P82-P83-P84</f>
        <v>775.44</v>
      </c>
      <c r="Q85" s="29" t="n">
        <f aca="false">Q78-Q80-Q81-Q82-Q83-Q84</f>
        <v>844.368</v>
      </c>
      <c r="R85" s="29" t="n">
        <f aca="false">R78-R80-R81-R82-R83-R84</f>
        <v>896.064</v>
      </c>
      <c r="S85" s="29" t="n">
        <f aca="false">S78-S80-S81-S82-S83-S84</f>
        <v>947.76</v>
      </c>
      <c r="T85" s="29" t="n">
        <f aca="false">T78-T80-T81-T82-T83-T84</f>
        <v>999.456</v>
      </c>
      <c r="U85" s="29" t="n">
        <f aca="false">U78-U80-U81-U82-U83-U84</f>
        <v>1051.152</v>
      </c>
      <c r="V85" s="29" t="n">
        <f aca="false">V78-V80-V81-V82-V83-V84</f>
        <v>105.1152</v>
      </c>
      <c r="W85" s="29" t="n">
        <f aca="false">W78-W80-W81-W82-W83-W84</f>
        <v>105.1152</v>
      </c>
      <c r="X85" s="29" t="n">
        <f aca="false">X78-X80-X81-X82-X83-X84</f>
        <v>105.1152</v>
      </c>
      <c r="Y85" s="29" t="n">
        <f aca="false">Y78-Y80-Y81-Y82-Y83-Y84</f>
        <v>1051.152</v>
      </c>
      <c r="Z85" s="29" t="n">
        <f aca="false">Z78-Z80-Z81-Z82-Z83-Z84</f>
        <v>1051.152</v>
      </c>
      <c r="AA85" s="29" t="n">
        <f aca="false">AA78-AA80-AA81-AA82-AA83-AA84</f>
        <v>1051.152</v>
      </c>
      <c r="AB85" s="29" t="n">
        <f aca="false">SUM(D85:O85)</f>
        <v>0</v>
      </c>
      <c r="AC85" s="29" t="n">
        <f aca="false">SUM(P85:AA85)</f>
        <v>8983.0416</v>
      </c>
    </row>
    <row r="86" customFormat="false" ht="15" hidden="false" customHeight="false" outlineLevel="0" collapsed="false">
      <c r="A86" s="9" t="s">
        <v>486</v>
      </c>
      <c r="B86" s="3" t="s">
        <v>62</v>
      </c>
      <c r="D86" s="61" t="n">
        <f aca="false">IF(D$47&gt;=13,Assumptions!$C$53/12,0)</f>
        <v>0</v>
      </c>
      <c r="E86" s="61" t="n">
        <f aca="false">IF(E$47&gt;=13,Assumptions!$C$53/12,0)</f>
        <v>0</v>
      </c>
      <c r="F86" s="61" t="n">
        <f aca="false">IF(F$47&gt;=13,Assumptions!$C$53/12,0)</f>
        <v>0</v>
      </c>
      <c r="G86" s="61" t="n">
        <f aca="false">IF(G$47&gt;=13,Assumptions!$C$53/12,0)</f>
        <v>0</v>
      </c>
      <c r="H86" s="61" t="n">
        <f aca="false">IF(H$47&gt;=13,Assumptions!$C$53/12,0)</f>
        <v>0</v>
      </c>
      <c r="I86" s="61" t="n">
        <f aca="false">IF(I$47&gt;=13,Assumptions!$C$53/12,0)</f>
        <v>0</v>
      </c>
      <c r="J86" s="61" t="n">
        <f aca="false">IF(J$47&gt;=13,Assumptions!$C$53/12,0)</f>
        <v>0</v>
      </c>
      <c r="K86" s="61" t="n">
        <f aca="false">IF(K$47&gt;=13,Assumptions!$C$53/12,0)</f>
        <v>0</v>
      </c>
      <c r="L86" s="61" t="n">
        <f aca="false">IF(L$47&gt;=13,Assumptions!$C$53/12,0)</f>
        <v>0</v>
      </c>
      <c r="M86" s="61" t="n">
        <f aca="false">IF(M$47&gt;=13,Assumptions!$C$53/12,0)</f>
        <v>0</v>
      </c>
      <c r="N86" s="61" t="n">
        <f aca="false">IF(N$47&gt;=13,Assumptions!$C$53/12,0)</f>
        <v>0</v>
      </c>
      <c r="O86" s="61" t="n">
        <f aca="false">IF(O$47&gt;=13,Assumptions!$C$53/12,0)</f>
        <v>0</v>
      </c>
      <c r="P86" s="61" t="n">
        <f aca="false">IF(P$47&gt;=13,Assumptions!$C$53/12,0)</f>
        <v>0</v>
      </c>
      <c r="Q86" s="61" t="n">
        <f aca="false">IF(Q$47&gt;=13,Assumptions!$C$53/12,0)</f>
        <v>0</v>
      </c>
      <c r="R86" s="61" t="n">
        <f aca="false">IF(R$47&gt;=13,Assumptions!$C$53/12,0)</f>
        <v>0</v>
      </c>
      <c r="S86" s="61" t="n">
        <f aca="false">IF(S$47&gt;=13,Assumptions!$C$53/12,0)</f>
        <v>0</v>
      </c>
      <c r="T86" s="61" t="n">
        <f aca="false">IF(T$47&gt;=13,Assumptions!$C$53/12,0)</f>
        <v>0</v>
      </c>
      <c r="U86" s="61" t="n">
        <f aca="false">IF(U$47&gt;=13,Assumptions!$C$53/12,0)</f>
        <v>0</v>
      </c>
      <c r="V86" s="61" t="n">
        <f aca="false">IF(V$47&gt;=13,Assumptions!$C$53/12,0)</f>
        <v>0</v>
      </c>
      <c r="W86" s="61" t="n">
        <f aca="false">IF(W$47&gt;=13,Assumptions!$C$53/12,0)</f>
        <v>0</v>
      </c>
      <c r="X86" s="61" t="n">
        <f aca="false">IF(X$47&gt;=13,Assumptions!$C$53/12,0)</f>
        <v>0</v>
      </c>
      <c r="Y86" s="61" t="n">
        <f aca="false">IF(Y$47&gt;=13,Assumptions!$C$53/12,0)</f>
        <v>0</v>
      </c>
      <c r="Z86" s="61" t="n">
        <f aca="false">IF(Z$47&gt;=13,Assumptions!$C$53/12,0)</f>
        <v>0</v>
      </c>
      <c r="AA86" s="61" t="n">
        <f aca="false">IF(AA$47&gt;=13,Assumptions!$C$53/12,0)</f>
        <v>0</v>
      </c>
      <c r="AB86" s="29" t="n">
        <f aca="false">SUM(D86:O86)</f>
        <v>0</v>
      </c>
      <c r="AC86" s="29" t="n">
        <f aca="false">SUM(P86:AA86)</f>
        <v>0</v>
      </c>
    </row>
    <row r="87" customFormat="false" ht="15" hidden="false" customHeight="false" outlineLevel="0" collapsed="false">
      <c r="A87" s="3" t="s">
        <v>487</v>
      </c>
      <c r="B87" s="3" t="s">
        <v>95</v>
      </c>
      <c r="D87" s="62" t="n">
        <f aca="false">IF(D50=0,0,D86/(D50*Assumptions!$C$70))</f>
        <v>0</v>
      </c>
      <c r="E87" s="62" t="n">
        <f aca="false">IF(E50=0,0,E86/(E50*Assumptions!$C$70))</f>
        <v>0</v>
      </c>
      <c r="F87" s="62" t="n">
        <f aca="false">IF(F50=0,0,F86/(F50*Assumptions!$C$70))</f>
        <v>0</v>
      </c>
      <c r="G87" s="62" t="n">
        <f aca="false">IF(G50=0,0,G86/(G50*Assumptions!$C$70))</f>
        <v>0</v>
      </c>
      <c r="H87" s="62" t="n">
        <f aca="false">IF(H50=0,0,H86/(H50*Assumptions!$C$70))</f>
        <v>0</v>
      </c>
      <c r="I87" s="62" t="n">
        <f aca="false">IF(I50=0,0,I86/(I50*Assumptions!$C$70))</f>
        <v>0</v>
      </c>
      <c r="J87" s="62" t="n">
        <f aca="false">IF(J50=0,0,J86/(J50*Assumptions!$C$70))</f>
        <v>0</v>
      </c>
      <c r="K87" s="62" t="n">
        <f aca="false">IF(K50=0,0,K86/(K50*Assumptions!$C$70))</f>
        <v>0</v>
      </c>
      <c r="L87" s="62" t="n">
        <f aca="false">IF(L50=0,0,L86/(L50*Assumptions!$C$70))</f>
        <v>0</v>
      </c>
      <c r="M87" s="62" t="n">
        <f aca="false">IF(M50=0,0,M86/(M50*Assumptions!$C$70))</f>
        <v>0</v>
      </c>
      <c r="N87" s="62" t="n">
        <f aca="false">IF(N50=0,0,N86/(N50*Assumptions!$C$70))</f>
        <v>0</v>
      </c>
      <c r="O87" s="62" t="n">
        <f aca="false">IF(O50=0,0,O86/(O50*Assumptions!$C$70))</f>
        <v>0</v>
      </c>
      <c r="P87" s="62" t="n">
        <f aca="false">IF(P50=0,0,P86/(P50*Assumptions!$C$70))</f>
        <v>0</v>
      </c>
      <c r="Q87" s="62" t="n">
        <f aca="false">IF(Q50=0,0,Q86/(Q50*Assumptions!$C$70))</f>
        <v>0</v>
      </c>
      <c r="R87" s="62" t="n">
        <f aca="false">IF(R50=0,0,R86/(R50*Assumptions!$C$70))</f>
        <v>0</v>
      </c>
      <c r="S87" s="62" t="n">
        <f aca="false">IF(S50=0,0,S86/(S50*Assumptions!$C$70))</f>
        <v>0</v>
      </c>
      <c r="T87" s="62" t="n">
        <f aca="false">IF(T50=0,0,T86/(T50*Assumptions!$C$70))</f>
        <v>0</v>
      </c>
      <c r="U87" s="62" t="n">
        <f aca="false">IF(U50=0,0,U86/(U50*Assumptions!$C$70))</f>
        <v>0</v>
      </c>
      <c r="V87" s="62" t="n">
        <f aca="false">IF(V50=0,0,V86/(V50*Assumptions!$C$70))</f>
        <v>0</v>
      </c>
      <c r="W87" s="62" t="n">
        <f aca="false">IF(W50=0,0,W86/(W50*Assumptions!$C$70))</f>
        <v>0</v>
      </c>
      <c r="X87" s="62" t="n">
        <f aca="false">IF(X50=0,0,X86/(X50*Assumptions!$C$70))</f>
        <v>0</v>
      </c>
      <c r="Y87" s="62" t="n">
        <f aca="false">IF(Y50=0,0,Y86/(Y50*Assumptions!$C$70))</f>
        <v>0</v>
      </c>
      <c r="Z87" s="62" t="n">
        <f aca="false">IF(Z50=0,0,Z86/(Z50*Assumptions!$C$70))</f>
        <v>0</v>
      </c>
      <c r="AA87" s="62" t="n">
        <f aca="false">IF(AA50=0,0,AA86/(AA50*Assumptions!$C$70))</f>
        <v>0</v>
      </c>
      <c r="AB87" s="31" t="n">
        <f aca="false">SUM(D87:O87)</f>
        <v>0</v>
      </c>
      <c r="AC87" s="31" t="n">
        <f aca="false">SUM(P87:AA87)</f>
        <v>0</v>
      </c>
    </row>
    <row r="88" customFormat="false" ht="15" hidden="false" customHeight="false" outlineLevel="0" collapsed="false">
      <c r="A88" s="3" t="s">
        <v>488</v>
      </c>
      <c r="B88" s="3" t="s">
        <v>62</v>
      </c>
      <c r="D88" s="38" t="n">
        <f aca="false">D87*D50*D72</f>
        <v>0</v>
      </c>
      <c r="E88" s="38" t="n">
        <f aca="false">E87*E50*E72</f>
        <v>0</v>
      </c>
      <c r="F88" s="38" t="n">
        <f aca="false">F87*F50*F72</f>
        <v>0</v>
      </c>
      <c r="G88" s="38" t="n">
        <f aca="false">G87*G50*G72</f>
        <v>0</v>
      </c>
      <c r="H88" s="38" t="n">
        <f aca="false">H87*H50*H72</f>
        <v>0</v>
      </c>
      <c r="I88" s="38" t="n">
        <f aca="false">I87*I50*I72</f>
        <v>0</v>
      </c>
      <c r="J88" s="38" t="n">
        <f aca="false">J87*J50*J72</f>
        <v>0</v>
      </c>
      <c r="K88" s="38" t="n">
        <f aca="false">K87*K50*K72</f>
        <v>0</v>
      </c>
      <c r="L88" s="38" t="n">
        <f aca="false">L87*L50*L72</f>
        <v>0</v>
      </c>
      <c r="M88" s="38" t="n">
        <f aca="false">M87*M50*M72</f>
        <v>0</v>
      </c>
      <c r="N88" s="38" t="n">
        <f aca="false">N87*N50*N72</f>
        <v>0</v>
      </c>
      <c r="O88" s="38" t="n">
        <f aca="false">O87*O50*O72</f>
        <v>0</v>
      </c>
      <c r="P88" s="38" t="n">
        <f aca="false">P87*P50*P72</f>
        <v>0</v>
      </c>
      <c r="Q88" s="38" t="n">
        <f aca="false">Q87*Q50*Q72</f>
        <v>0</v>
      </c>
      <c r="R88" s="38" t="n">
        <f aca="false">R87*R50*R72</f>
        <v>0</v>
      </c>
      <c r="S88" s="38" t="n">
        <f aca="false">S87*S50*S72</f>
        <v>0</v>
      </c>
      <c r="T88" s="38" t="n">
        <f aca="false">T87*T50*T72</f>
        <v>0</v>
      </c>
      <c r="U88" s="38" t="n">
        <f aca="false">U87*U50*U72</f>
        <v>0</v>
      </c>
      <c r="V88" s="38" t="n">
        <f aca="false">V87*V50*V72</f>
        <v>0</v>
      </c>
      <c r="W88" s="38" t="n">
        <f aca="false">W87*W50*W72</f>
        <v>0</v>
      </c>
      <c r="X88" s="38" t="n">
        <f aca="false">X87*X50*X72</f>
        <v>0</v>
      </c>
      <c r="Y88" s="38" t="n">
        <f aca="false">Y87*Y50*Y72</f>
        <v>0</v>
      </c>
      <c r="Z88" s="38" t="n">
        <f aca="false">Z87*Z50*Z72</f>
        <v>0</v>
      </c>
      <c r="AA88" s="38" t="n">
        <f aca="false">AA87*AA50*AA72</f>
        <v>0</v>
      </c>
      <c r="AB88" s="38" t="n">
        <f aca="false">SUM(D88:O88)</f>
        <v>0</v>
      </c>
      <c r="AC88" s="38" t="n">
        <f aca="false">SUM(P88:AA88)</f>
        <v>0</v>
      </c>
    </row>
    <row r="89" customFormat="false" ht="15" hidden="false" customHeight="false" outlineLevel="0" collapsed="false">
      <c r="A89" s="3" t="s">
        <v>489</v>
      </c>
      <c r="B89" s="3" t="s">
        <v>62</v>
      </c>
      <c r="D89" s="60" t="n">
        <f aca="false">D87*Assumptions!$C$71</f>
        <v>0</v>
      </c>
      <c r="E89" s="60" t="n">
        <f aca="false">E87*Assumptions!$C$71</f>
        <v>0</v>
      </c>
      <c r="F89" s="60" t="n">
        <f aca="false">F87*Assumptions!$C$71</f>
        <v>0</v>
      </c>
      <c r="G89" s="60" t="n">
        <f aca="false">G87*Assumptions!$C$71</f>
        <v>0</v>
      </c>
      <c r="H89" s="60" t="n">
        <f aca="false">H87*Assumptions!$C$71</f>
        <v>0</v>
      </c>
      <c r="I89" s="60" t="n">
        <f aca="false">I87*Assumptions!$C$71</f>
        <v>0</v>
      </c>
      <c r="J89" s="60" t="n">
        <f aca="false">J87*Assumptions!$C$71</f>
        <v>0</v>
      </c>
      <c r="K89" s="60" t="n">
        <f aca="false">K87*Assumptions!$C$71</f>
        <v>0</v>
      </c>
      <c r="L89" s="60" t="n">
        <f aca="false">L87*Assumptions!$C$71</f>
        <v>0</v>
      </c>
      <c r="M89" s="60" t="n">
        <f aca="false">M87*Assumptions!$C$71</f>
        <v>0</v>
      </c>
      <c r="N89" s="60" t="n">
        <f aca="false">N87*Assumptions!$C$71</f>
        <v>0</v>
      </c>
      <c r="O89" s="60" t="n">
        <f aca="false">O87*Assumptions!$C$71</f>
        <v>0</v>
      </c>
      <c r="P89" s="60" t="n">
        <f aca="false">P87*Assumptions!$C$71</f>
        <v>0</v>
      </c>
      <c r="Q89" s="60" t="n">
        <f aca="false">Q87*Assumptions!$C$71</f>
        <v>0</v>
      </c>
      <c r="R89" s="60" t="n">
        <f aca="false">R87*Assumptions!$C$71</f>
        <v>0</v>
      </c>
      <c r="S89" s="60" t="n">
        <f aca="false">S87*Assumptions!$C$71</f>
        <v>0</v>
      </c>
      <c r="T89" s="60" t="n">
        <f aca="false">T87*Assumptions!$C$71</f>
        <v>0</v>
      </c>
      <c r="U89" s="60" t="n">
        <f aca="false">U87*Assumptions!$C$71</f>
        <v>0</v>
      </c>
      <c r="V89" s="60" t="n">
        <f aca="false">V87*Assumptions!$C$71</f>
        <v>0</v>
      </c>
      <c r="W89" s="60" t="n">
        <f aca="false">W87*Assumptions!$C$71</f>
        <v>0</v>
      </c>
      <c r="X89" s="60" t="n">
        <f aca="false">X87*Assumptions!$C$71</f>
        <v>0</v>
      </c>
      <c r="Y89" s="60" t="n">
        <f aca="false">Y87*Assumptions!$C$71</f>
        <v>0</v>
      </c>
      <c r="Z89" s="60" t="n">
        <f aca="false">Z87*Assumptions!$C$71</f>
        <v>0</v>
      </c>
      <c r="AA89" s="60" t="n">
        <f aca="false">AA87*Assumptions!$C$71</f>
        <v>0</v>
      </c>
      <c r="AB89" s="38" t="n">
        <f aca="false">SUM(D89:O89)</f>
        <v>0</v>
      </c>
      <c r="AC89" s="38" t="n">
        <f aca="false">SUM(P89:AA89)</f>
        <v>0</v>
      </c>
    </row>
    <row r="90" customFormat="false" ht="15" hidden="false" customHeight="false" outlineLevel="0" collapsed="false">
      <c r="A90" s="3" t="s">
        <v>490</v>
      </c>
      <c r="B90" s="3" t="s">
        <v>62</v>
      </c>
      <c r="D90" s="60" t="n">
        <f aca="false">D86*Assumptions!$C$72</f>
        <v>0</v>
      </c>
      <c r="E90" s="60" t="n">
        <f aca="false">E86*Assumptions!$C$72</f>
        <v>0</v>
      </c>
      <c r="F90" s="60" t="n">
        <f aca="false">F86*Assumptions!$C$72</f>
        <v>0</v>
      </c>
      <c r="G90" s="60" t="n">
        <f aca="false">G86*Assumptions!$C$72</f>
        <v>0</v>
      </c>
      <c r="H90" s="60" t="n">
        <f aca="false">H86*Assumptions!$C$72</f>
        <v>0</v>
      </c>
      <c r="I90" s="60" t="n">
        <f aca="false">I86*Assumptions!$C$72</f>
        <v>0</v>
      </c>
      <c r="J90" s="60" t="n">
        <f aca="false">J86*Assumptions!$C$72</f>
        <v>0</v>
      </c>
      <c r="K90" s="60" t="n">
        <f aca="false">K86*Assumptions!$C$72</f>
        <v>0</v>
      </c>
      <c r="L90" s="60" t="n">
        <f aca="false">L86*Assumptions!$C$72</f>
        <v>0</v>
      </c>
      <c r="M90" s="60" t="n">
        <f aca="false">M86*Assumptions!$C$72</f>
        <v>0</v>
      </c>
      <c r="N90" s="60" t="n">
        <f aca="false">N86*Assumptions!$C$72</f>
        <v>0</v>
      </c>
      <c r="O90" s="60" t="n">
        <f aca="false">O86*Assumptions!$C$72</f>
        <v>0</v>
      </c>
      <c r="P90" s="60" t="n">
        <f aca="false">P86*Assumptions!$C$72</f>
        <v>0</v>
      </c>
      <c r="Q90" s="60" t="n">
        <f aca="false">Q86*Assumptions!$C$72</f>
        <v>0</v>
      </c>
      <c r="R90" s="60" t="n">
        <f aca="false">R86*Assumptions!$C$72</f>
        <v>0</v>
      </c>
      <c r="S90" s="60" t="n">
        <f aca="false">S86*Assumptions!$C$72</f>
        <v>0</v>
      </c>
      <c r="T90" s="60" t="n">
        <f aca="false">T86*Assumptions!$C$72</f>
        <v>0</v>
      </c>
      <c r="U90" s="60" t="n">
        <f aca="false">U86*Assumptions!$C$72</f>
        <v>0</v>
      </c>
      <c r="V90" s="60" t="n">
        <f aca="false">V86*Assumptions!$C$72</f>
        <v>0</v>
      </c>
      <c r="W90" s="60" t="n">
        <f aca="false">W86*Assumptions!$C$72</f>
        <v>0</v>
      </c>
      <c r="X90" s="60" t="n">
        <f aca="false">X86*Assumptions!$C$72</f>
        <v>0</v>
      </c>
      <c r="Y90" s="60" t="n">
        <f aca="false">Y86*Assumptions!$C$72</f>
        <v>0</v>
      </c>
      <c r="Z90" s="60" t="n">
        <f aca="false">Z86*Assumptions!$C$72</f>
        <v>0</v>
      </c>
      <c r="AA90" s="60" t="n">
        <f aca="false">AA86*Assumptions!$C$72</f>
        <v>0</v>
      </c>
      <c r="AB90" s="38" t="n">
        <f aca="false">SUM(D90:O90)</f>
        <v>0</v>
      </c>
      <c r="AC90" s="38" t="n">
        <f aca="false">SUM(P90:AA90)</f>
        <v>0</v>
      </c>
    </row>
    <row r="91" customFormat="false" ht="15" hidden="false" customHeight="false" outlineLevel="0" collapsed="false">
      <c r="A91" s="3" t="s">
        <v>491</v>
      </c>
      <c r="B91" s="3" t="s">
        <v>62</v>
      </c>
      <c r="D91" s="60" t="n">
        <f aca="false">D86*Assumptions!$C$73</f>
        <v>0</v>
      </c>
      <c r="E91" s="60" t="n">
        <f aca="false">E86*Assumptions!$C$73</f>
        <v>0</v>
      </c>
      <c r="F91" s="60" t="n">
        <f aca="false">F86*Assumptions!$C$73</f>
        <v>0</v>
      </c>
      <c r="G91" s="60" t="n">
        <f aca="false">G86*Assumptions!$C$73</f>
        <v>0</v>
      </c>
      <c r="H91" s="60" t="n">
        <f aca="false">H86*Assumptions!$C$73</f>
        <v>0</v>
      </c>
      <c r="I91" s="60" t="n">
        <f aca="false">I86*Assumptions!$C$73</f>
        <v>0</v>
      </c>
      <c r="J91" s="60" t="n">
        <f aca="false">J86*Assumptions!$C$73</f>
        <v>0</v>
      </c>
      <c r="K91" s="60" t="n">
        <f aca="false">K86*Assumptions!$C$73</f>
        <v>0</v>
      </c>
      <c r="L91" s="60" t="n">
        <f aca="false">L86*Assumptions!$C$73</f>
        <v>0</v>
      </c>
      <c r="M91" s="60" t="n">
        <f aca="false">M86*Assumptions!$C$73</f>
        <v>0</v>
      </c>
      <c r="N91" s="60" t="n">
        <f aca="false">N86*Assumptions!$C$73</f>
        <v>0</v>
      </c>
      <c r="O91" s="60" t="n">
        <f aca="false">O86*Assumptions!$C$73</f>
        <v>0</v>
      </c>
      <c r="P91" s="60" t="n">
        <f aca="false">P86*Assumptions!$C$73</f>
        <v>0</v>
      </c>
      <c r="Q91" s="60" t="n">
        <f aca="false">Q86*Assumptions!$C$73</f>
        <v>0</v>
      </c>
      <c r="R91" s="60" t="n">
        <f aca="false">R86*Assumptions!$C$73</f>
        <v>0</v>
      </c>
      <c r="S91" s="60" t="n">
        <f aca="false">S86*Assumptions!$C$73</f>
        <v>0</v>
      </c>
      <c r="T91" s="60" t="n">
        <f aca="false">T86*Assumptions!$C$73</f>
        <v>0</v>
      </c>
      <c r="U91" s="60" t="n">
        <f aca="false">U86*Assumptions!$C$73</f>
        <v>0</v>
      </c>
      <c r="V91" s="60" t="n">
        <f aca="false">V86*Assumptions!$C$73</f>
        <v>0</v>
      </c>
      <c r="W91" s="60" t="n">
        <f aca="false">W86*Assumptions!$C$73</f>
        <v>0</v>
      </c>
      <c r="X91" s="60" t="n">
        <f aca="false">X86*Assumptions!$C$73</f>
        <v>0</v>
      </c>
      <c r="Y91" s="60" t="n">
        <f aca="false">Y86*Assumptions!$C$73</f>
        <v>0</v>
      </c>
      <c r="Z91" s="60" t="n">
        <f aca="false">Z86*Assumptions!$C$73</f>
        <v>0</v>
      </c>
      <c r="AA91" s="60" t="n">
        <f aca="false">AA86*Assumptions!$C$73</f>
        <v>0</v>
      </c>
      <c r="AB91" s="38" t="n">
        <f aca="false">SUM(D91:O91)</f>
        <v>0</v>
      </c>
      <c r="AC91" s="38" t="n">
        <f aca="false">SUM(P91:AA91)</f>
        <v>0</v>
      </c>
    </row>
    <row r="92" customFormat="false" ht="15" hidden="false" customHeight="false" outlineLevel="0" collapsed="false">
      <c r="A92" s="3" t="s">
        <v>492</v>
      </c>
      <c r="B92" s="3" t="s">
        <v>62</v>
      </c>
      <c r="D92" s="60" t="n">
        <f aca="false">D86*Assumptions!$C$74</f>
        <v>0</v>
      </c>
      <c r="E92" s="60" t="n">
        <f aca="false">E86*Assumptions!$C$74</f>
        <v>0</v>
      </c>
      <c r="F92" s="60" t="n">
        <f aca="false">F86*Assumptions!$C$74</f>
        <v>0</v>
      </c>
      <c r="G92" s="60" t="n">
        <f aca="false">G86*Assumptions!$C$74</f>
        <v>0</v>
      </c>
      <c r="H92" s="60" t="n">
        <f aca="false">H86*Assumptions!$C$74</f>
        <v>0</v>
      </c>
      <c r="I92" s="60" t="n">
        <f aca="false">I86*Assumptions!$C$74</f>
        <v>0</v>
      </c>
      <c r="J92" s="60" t="n">
        <f aca="false">J86*Assumptions!$C$74</f>
        <v>0</v>
      </c>
      <c r="K92" s="60" t="n">
        <f aca="false">K86*Assumptions!$C$74</f>
        <v>0</v>
      </c>
      <c r="L92" s="60" t="n">
        <f aca="false">L86*Assumptions!$C$74</f>
        <v>0</v>
      </c>
      <c r="M92" s="60" t="n">
        <f aca="false">M86*Assumptions!$C$74</f>
        <v>0</v>
      </c>
      <c r="N92" s="60" t="n">
        <f aca="false">N86*Assumptions!$C$74</f>
        <v>0</v>
      </c>
      <c r="O92" s="60" t="n">
        <f aca="false">O86*Assumptions!$C$74</f>
        <v>0</v>
      </c>
      <c r="P92" s="60" t="n">
        <f aca="false">P86*Assumptions!$C$74</f>
        <v>0</v>
      </c>
      <c r="Q92" s="60" t="n">
        <f aca="false">Q86*Assumptions!$C$74</f>
        <v>0</v>
      </c>
      <c r="R92" s="60" t="n">
        <f aca="false">R86*Assumptions!$C$74</f>
        <v>0</v>
      </c>
      <c r="S92" s="60" t="n">
        <f aca="false">S86*Assumptions!$C$74</f>
        <v>0</v>
      </c>
      <c r="T92" s="60" t="n">
        <f aca="false">T86*Assumptions!$C$74</f>
        <v>0</v>
      </c>
      <c r="U92" s="60" t="n">
        <f aca="false">U86*Assumptions!$C$74</f>
        <v>0</v>
      </c>
      <c r="V92" s="60" t="n">
        <f aca="false">V86*Assumptions!$C$74</f>
        <v>0</v>
      </c>
      <c r="W92" s="60" t="n">
        <f aca="false">W86*Assumptions!$C$74</f>
        <v>0</v>
      </c>
      <c r="X92" s="60" t="n">
        <f aca="false">X86*Assumptions!$C$74</f>
        <v>0</v>
      </c>
      <c r="Y92" s="60" t="n">
        <f aca="false">Y86*Assumptions!$C$74</f>
        <v>0</v>
      </c>
      <c r="Z92" s="60" t="n">
        <f aca="false">Z86*Assumptions!$C$74</f>
        <v>0</v>
      </c>
      <c r="AA92" s="60" t="n">
        <f aca="false">AA86*Assumptions!$C$74</f>
        <v>0</v>
      </c>
      <c r="AB92" s="38" t="n">
        <f aca="false">SUM(D92:O92)</f>
        <v>0</v>
      </c>
      <c r="AC92" s="38" t="n">
        <f aca="false">SUM(P92:AA92)</f>
        <v>0</v>
      </c>
    </row>
    <row r="93" customFormat="false" ht="15" hidden="false" customHeight="false" outlineLevel="0" collapsed="false">
      <c r="A93" s="9" t="s">
        <v>493</v>
      </c>
      <c r="B93" s="3" t="s">
        <v>62</v>
      </c>
      <c r="D93" s="29" t="n">
        <f aca="false">D86-D88-D89-D90-D91-D92</f>
        <v>0</v>
      </c>
      <c r="E93" s="29" t="n">
        <f aca="false">E86-E88-E89-E90-E91-E92</f>
        <v>0</v>
      </c>
      <c r="F93" s="29" t="n">
        <f aca="false">F86-F88-F89-F90-F91-F92</f>
        <v>0</v>
      </c>
      <c r="G93" s="29" t="n">
        <f aca="false">G86-G88-G89-G90-G91-G92</f>
        <v>0</v>
      </c>
      <c r="H93" s="29" t="n">
        <f aca="false">H86-H88-H89-H90-H91-H92</f>
        <v>0</v>
      </c>
      <c r="I93" s="29" t="n">
        <f aca="false">I86-I88-I89-I90-I91-I92</f>
        <v>0</v>
      </c>
      <c r="J93" s="29" t="n">
        <f aca="false">J86-J88-J89-J90-J91-J92</f>
        <v>0</v>
      </c>
      <c r="K93" s="29" t="n">
        <f aca="false">K86-K88-K89-K90-K91-K92</f>
        <v>0</v>
      </c>
      <c r="L93" s="29" t="n">
        <f aca="false">L86-L88-L89-L90-L91-L92</f>
        <v>0</v>
      </c>
      <c r="M93" s="29" t="n">
        <f aca="false">M86-M88-M89-M90-M91-M92</f>
        <v>0</v>
      </c>
      <c r="N93" s="29" t="n">
        <f aca="false">N86-N88-N89-N90-N91-N92</f>
        <v>0</v>
      </c>
      <c r="O93" s="29" t="n">
        <f aca="false">O86-O88-O89-O90-O91-O92</f>
        <v>0</v>
      </c>
      <c r="P93" s="29" t="n">
        <f aca="false">P86-P88-P89-P90-P91-P92</f>
        <v>0</v>
      </c>
      <c r="Q93" s="29" t="n">
        <f aca="false">Q86-Q88-Q89-Q90-Q91-Q92</f>
        <v>0</v>
      </c>
      <c r="R93" s="29" t="n">
        <f aca="false">R86-R88-R89-R90-R91-R92</f>
        <v>0</v>
      </c>
      <c r="S93" s="29" t="n">
        <f aca="false">S86-S88-S89-S90-S91-S92</f>
        <v>0</v>
      </c>
      <c r="T93" s="29" t="n">
        <f aca="false">T86-T88-T89-T90-T91-T92</f>
        <v>0</v>
      </c>
      <c r="U93" s="29" t="n">
        <f aca="false">U86-U88-U89-U90-U91-U92</f>
        <v>0</v>
      </c>
      <c r="V93" s="29" t="n">
        <f aca="false">V86-V88-V89-V90-V91-V92</f>
        <v>0</v>
      </c>
      <c r="W93" s="29" t="n">
        <f aca="false">W86-W88-W89-W90-W91-W92</f>
        <v>0</v>
      </c>
      <c r="X93" s="29" t="n">
        <f aca="false">X86-X88-X89-X90-X91-X92</f>
        <v>0</v>
      </c>
      <c r="Y93" s="29" t="n">
        <f aca="false">Y86-Y88-Y89-Y90-Y91-Y92</f>
        <v>0</v>
      </c>
      <c r="Z93" s="29" t="n">
        <f aca="false">Z86-Z88-Z89-Z90-Z91-Z92</f>
        <v>0</v>
      </c>
      <c r="AA93" s="29" t="n">
        <f aca="false">AA86-AA88-AA89-AA90-AA91-AA92</f>
        <v>0</v>
      </c>
      <c r="AB93" s="29" t="n">
        <f aca="false">SUM(D93:O93)</f>
        <v>0</v>
      </c>
      <c r="AC93" s="29" t="n">
        <f aca="false">SUM(P93:AA93)</f>
        <v>0</v>
      </c>
    </row>
    <row r="95" customFormat="false" ht="15" hidden="false" customHeight="false" outlineLevel="0" collapsed="false">
      <c r="A95" s="9" t="s">
        <v>494</v>
      </c>
    </row>
    <row r="96" customFormat="false" ht="15" hidden="false" customHeight="false" outlineLevel="0" collapsed="false">
      <c r="A96" s="9" t="s">
        <v>495</v>
      </c>
      <c r="B96" s="3" t="s">
        <v>62</v>
      </c>
      <c r="D96" s="29" t="n">
        <f aca="false">D51+D78+D86</f>
        <v>3420</v>
      </c>
      <c r="E96" s="29" t="n">
        <f aca="false">E51+E78+E86</f>
        <v>5472</v>
      </c>
      <c r="F96" s="29" t="n">
        <f aca="false">F51+F78+F86</f>
        <v>8208</v>
      </c>
      <c r="G96" s="29" t="n">
        <f aca="false">G51+G78+G86</f>
        <v>11400</v>
      </c>
      <c r="H96" s="29" t="n">
        <f aca="false">H51+H78+H86</f>
        <v>14820</v>
      </c>
      <c r="I96" s="29" t="n">
        <f aca="false">I51+I78+I86</f>
        <v>18696</v>
      </c>
      <c r="J96" s="29" t="n">
        <f aca="false">J51+J78+J86</f>
        <v>22800</v>
      </c>
      <c r="K96" s="29" t="n">
        <f aca="false">K51+K78+K86</f>
        <v>27360</v>
      </c>
      <c r="L96" s="29" t="n">
        <f aca="false">L51+L78+L86</f>
        <v>31920</v>
      </c>
      <c r="M96" s="29" t="n">
        <f aca="false">M51+M78+M86</f>
        <v>36480</v>
      </c>
      <c r="N96" s="29" t="n">
        <f aca="false">N51+N78+N86</f>
        <v>41040</v>
      </c>
      <c r="O96" s="29" t="n">
        <f aca="false">O51+O78+O86</f>
        <v>46740</v>
      </c>
      <c r="P96" s="29" t="n">
        <f aca="false">P51+P78+P86</f>
        <v>55404</v>
      </c>
      <c r="Q96" s="29" t="n">
        <f aca="false">Q51+Q78+Q86</f>
        <v>60328.8</v>
      </c>
      <c r="R96" s="29" t="n">
        <f aca="false">R51+R78+R86</f>
        <v>64022.4</v>
      </c>
      <c r="S96" s="29" t="n">
        <f aca="false">S51+S78+S86</f>
        <v>67716</v>
      </c>
      <c r="T96" s="29" t="n">
        <f aca="false">T51+T78+T86</f>
        <v>71409.6</v>
      </c>
      <c r="U96" s="29" t="n">
        <f aca="false">U51+U78+U86</f>
        <v>75103.2</v>
      </c>
      <c r="V96" s="29" t="n">
        <f aca="false">V51+V78+V86</f>
        <v>7510.32</v>
      </c>
      <c r="W96" s="29" t="n">
        <f aca="false">W51+W78+W86</f>
        <v>7510.32</v>
      </c>
      <c r="X96" s="29" t="n">
        <f aca="false">X51+X78+X86</f>
        <v>7510.32</v>
      </c>
      <c r="Y96" s="29" t="n">
        <f aca="false">Y51+Y78+Y86</f>
        <v>75103.2</v>
      </c>
      <c r="Z96" s="29" t="n">
        <f aca="false">Z51+Z78+Z86</f>
        <v>75103.2</v>
      </c>
      <c r="AA96" s="29" t="n">
        <f aca="false">AA51+AA78+AA86</f>
        <v>75103.2</v>
      </c>
      <c r="AB96" s="29" t="n">
        <f aca="false">SUM(D96:O96)</f>
        <v>268356</v>
      </c>
      <c r="AC96" s="29" t="n">
        <f aca="false">SUM(P96:AA96)</f>
        <v>641824.56</v>
      </c>
    </row>
    <row r="97" customFormat="false" ht="15" hidden="false" customHeight="false" outlineLevel="0" collapsed="false">
      <c r="A97" s="9" t="s">
        <v>496</v>
      </c>
      <c r="B97" s="3" t="s">
        <v>62</v>
      </c>
      <c r="D97" s="29" t="n">
        <f aca="false">D63+D85+D93</f>
        <v>-10919.19</v>
      </c>
      <c r="E97" s="29" t="n">
        <f aca="false">E63+E85+E93</f>
        <v>-1736.71</v>
      </c>
      <c r="F97" s="29" t="n">
        <f aca="false">F63+F85+F93</f>
        <v>-2160.07</v>
      </c>
      <c r="G97" s="29" t="n">
        <f aca="false">G63+G85+G93</f>
        <v>-1741.99</v>
      </c>
      <c r="H97" s="29" t="n">
        <f aca="false">H63+H85+H93</f>
        <v>-1997.59</v>
      </c>
      <c r="I97" s="29" t="n">
        <f aca="false">I63+I85+I93</f>
        <v>-2287.27</v>
      </c>
      <c r="J97" s="29" t="n">
        <f aca="false">J63+J85+J93</f>
        <v>-997.99</v>
      </c>
      <c r="K97" s="29" t="n">
        <f aca="false">K63+K85+K93</f>
        <v>-1019.59</v>
      </c>
      <c r="L97" s="29" t="n">
        <f aca="false">L63+L85+L93</f>
        <v>-1041.19</v>
      </c>
      <c r="M97" s="29" t="n">
        <f aca="false">M63+M85+M93</f>
        <v>-1062.79</v>
      </c>
      <c r="N97" s="29" t="n">
        <f aca="false">N63+N85+N93</f>
        <v>-1084.39</v>
      </c>
      <c r="O97" s="29" t="n">
        <f aca="false">O63+O85+O93</f>
        <v>-1111.39</v>
      </c>
      <c r="P97" s="29" t="n">
        <f aca="false">P63+P85+P93</f>
        <v>1694.45</v>
      </c>
      <c r="Q97" s="29" t="n">
        <f aca="false">Q63+Q85+Q93</f>
        <v>1924.178</v>
      </c>
      <c r="R97" s="29" t="n">
        <f aca="false">R63+R85+R93</f>
        <v>2096.47400000001</v>
      </c>
      <c r="S97" s="29" t="n">
        <f aca="false">S63+S85+S93</f>
        <v>2268.77</v>
      </c>
      <c r="T97" s="29" t="n">
        <f aca="false">T63+T85+T93</f>
        <v>2441.066</v>
      </c>
      <c r="U97" s="29" t="n">
        <f aca="false">U63+U85+U93</f>
        <v>2613.362</v>
      </c>
      <c r="V97" s="29" t="n">
        <f aca="false">V63+V85+V93</f>
        <v>-1346.51646666667</v>
      </c>
      <c r="W97" s="29" t="n">
        <f aca="false">W63+W85+W93</f>
        <v>-1346.51646666667</v>
      </c>
      <c r="X97" s="29" t="n">
        <f aca="false">X63+X85+X93</f>
        <v>-1346.51646666667</v>
      </c>
      <c r="Y97" s="29" t="n">
        <f aca="false">Y63+Y85+Y93</f>
        <v>1534.74533333334</v>
      </c>
      <c r="Z97" s="29" t="n">
        <f aca="false">Z63+Z85+Z93</f>
        <v>1534.74533333334</v>
      </c>
      <c r="AA97" s="29" t="n">
        <f aca="false">AA63+AA85+AA93</f>
        <v>1534.74533333334</v>
      </c>
      <c r="AB97" s="29" t="n">
        <f aca="false">SUM(D97:O97)</f>
        <v>-27160.16</v>
      </c>
      <c r="AC97" s="29" t="n">
        <f aca="false">SUM(P97:AA97)</f>
        <v>13602.9866</v>
      </c>
    </row>
    <row r="98" customFormat="false" ht="15" hidden="false" customHeight="false" outlineLevel="0" collapsed="false">
      <c r="A98" s="3" t="s">
        <v>497</v>
      </c>
      <c r="B98" s="3" t="s">
        <v>62</v>
      </c>
      <c r="D98" s="38" t="n">
        <f aca="false">D97</f>
        <v>-10919.19</v>
      </c>
      <c r="E98" s="38" t="n">
        <f aca="false">D98+E97</f>
        <v>-12655.9</v>
      </c>
      <c r="F98" s="38" t="n">
        <f aca="false">E98+F97</f>
        <v>-14815.97</v>
      </c>
      <c r="G98" s="38" t="n">
        <f aca="false">F98+G97</f>
        <v>-16557.96</v>
      </c>
      <c r="H98" s="38" t="n">
        <f aca="false">G98+H97</f>
        <v>-18555.55</v>
      </c>
      <c r="I98" s="38" t="n">
        <f aca="false">H98+I97</f>
        <v>-20842.82</v>
      </c>
      <c r="J98" s="38" t="n">
        <f aca="false">I98+J97</f>
        <v>-21840.81</v>
      </c>
      <c r="K98" s="38" t="n">
        <f aca="false">J98+K97</f>
        <v>-22860.4</v>
      </c>
      <c r="L98" s="38" t="n">
        <f aca="false">K98+L97</f>
        <v>-23901.59</v>
      </c>
      <c r="M98" s="38" t="n">
        <f aca="false">L98+M97</f>
        <v>-24964.38</v>
      </c>
      <c r="N98" s="38" t="n">
        <f aca="false">M98+N97</f>
        <v>-26048.77</v>
      </c>
      <c r="O98" s="38" t="n">
        <f aca="false">N98+O97</f>
        <v>-27160.16</v>
      </c>
      <c r="P98" s="38" t="n">
        <f aca="false">O98+P97</f>
        <v>-25465.71</v>
      </c>
      <c r="Q98" s="38" t="n">
        <f aca="false">P98+Q97</f>
        <v>-23541.532</v>
      </c>
      <c r="R98" s="38" t="n">
        <f aca="false">Q98+R97</f>
        <v>-21445.058</v>
      </c>
      <c r="S98" s="38" t="n">
        <f aca="false">R98+S97</f>
        <v>-19176.288</v>
      </c>
      <c r="T98" s="38" t="n">
        <f aca="false">S98+T97</f>
        <v>-16735.222</v>
      </c>
      <c r="U98" s="38" t="n">
        <f aca="false">T98+U97</f>
        <v>-14121.86</v>
      </c>
      <c r="V98" s="38" t="n">
        <f aca="false">U98+V97</f>
        <v>-15468.3764666666</v>
      </c>
      <c r="W98" s="38" t="n">
        <f aca="false">V98+W97</f>
        <v>-16814.8929333333</v>
      </c>
      <c r="X98" s="38" t="n">
        <f aca="false">W98+X97</f>
        <v>-18161.4094</v>
      </c>
      <c r="Y98" s="38" t="n">
        <f aca="false">X98+Y97</f>
        <v>-16626.6640666666</v>
      </c>
      <c r="Z98" s="38" t="n">
        <f aca="false">Y98+Z97</f>
        <v>-15091.9187333333</v>
      </c>
      <c r="AA98" s="38" t="n">
        <f aca="false">Z98+AA97</f>
        <v>-13557.1734</v>
      </c>
      <c r="AB98" s="38" t="n">
        <f aca="false">O98</f>
        <v>-27160.16</v>
      </c>
      <c r="AC98" s="38" t="n">
        <f aca="false">AA98</f>
        <v>-13557.1734</v>
      </c>
    </row>
    <row r="99" customFormat="false" ht="15" hidden="false" customHeight="false" outlineLevel="0" collapsed="false">
      <c r="A99" s="3" t="s">
        <v>498</v>
      </c>
      <c r="B99" s="3" t="s">
        <v>66</v>
      </c>
      <c r="D99" s="34" t="n">
        <f aca="false">IF(D96=0,0,D97/D96)</f>
        <v>-3.19274561403509</v>
      </c>
      <c r="E99" s="34" t="n">
        <f aca="false">IF(E96=0,0,E97/E96)</f>
        <v>-0.317381213450292</v>
      </c>
      <c r="F99" s="34" t="n">
        <f aca="false">IF(F96=0,0,F97/F96)</f>
        <v>-0.263166423001949</v>
      </c>
      <c r="G99" s="34" t="n">
        <f aca="false">IF(G96=0,0,G97/G96)</f>
        <v>-0.152806140350877</v>
      </c>
      <c r="H99" s="34" t="n">
        <f aca="false">IF(H96=0,0,H97/H96)</f>
        <v>-0.134790148448043</v>
      </c>
      <c r="I99" s="34" t="n">
        <f aca="false">IF(I96=0,0,I97/I96)</f>
        <v>-0.122340072742833</v>
      </c>
      <c r="J99" s="34" t="n">
        <f aca="false">IF(J96=0,0,J97/J96)</f>
        <v>-0.0437714912280702</v>
      </c>
      <c r="K99" s="34" t="n">
        <f aca="false">IF(K96=0,0,K97/K96)</f>
        <v>-0.037265716374269</v>
      </c>
      <c r="L99" s="34" t="n">
        <f aca="false">IF(L96=0,0,L97/L96)</f>
        <v>-0.0326187343358395</v>
      </c>
      <c r="M99" s="34" t="n">
        <f aca="false">IF(M96=0,0,M97/M96)</f>
        <v>-0.0291334978070176</v>
      </c>
      <c r="N99" s="34" t="n">
        <f aca="false">IF(N96=0,0,N97/N96)</f>
        <v>-0.0264227582846004</v>
      </c>
      <c r="O99" s="34" t="n">
        <f aca="false">IF(O96=0,0,O97/O96)</f>
        <v>-0.023778134360291</v>
      </c>
      <c r="P99" s="34" t="n">
        <f aca="false">IF(P96=0,0,P97/P96)</f>
        <v>0.0305835318749549</v>
      </c>
      <c r="Q99" s="34" t="n">
        <f aca="false">IF(Q96=0,0,Q97/Q96)</f>
        <v>0.0318948495577568</v>
      </c>
      <c r="R99" s="34" t="n">
        <f aca="false">IF(R96=0,0,R97/R96)</f>
        <v>0.0327459451691909</v>
      </c>
      <c r="S99" s="34" t="n">
        <f aca="false">IF(S96=0,0,S97/S96)</f>
        <v>0.0335041939866501</v>
      </c>
      <c r="T99" s="34" t="n">
        <f aca="false">IF(T96=0,0,T97/T96)</f>
        <v>0.0341840032712689</v>
      </c>
      <c r="U99" s="34" t="n">
        <f aca="false">IF(U96=0,0,U97/U96)</f>
        <v>0.034796946068876</v>
      </c>
      <c r="V99" s="34" t="n">
        <f aca="false">IF(V96=0,0,V97/V96)</f>
        <v>-0.179288827462301</v>
      </c>
      <c r="W99" s="34" t="n">
        <f aca="false">IF(W96=0,0,W97/W96)</f>
        <v>-0.179288827462301</v>
      </c>
      <c r="X99" s="34" t="n">
        <f aca="false">IF(X96=0,0,X97/X96)</f>
        <v>-0.179288827462301</v>
      </c>
      <c r="Y99" s="34" t="n">
        <f aca="false">IF(Y96=0,0,Y97/Y96)</f>
        <v>0.0204351523414893</v>
      </c>
      <c r="Z99" s="34" t="n">
        <f aca="false">IF(Z96=0,0,Z97/Z96)</f>
        <v>0.0204351523414893</v>
      </c>
      <c r="AA99" s="34" t="n">
        <f aca="false">IF(AA96=0,0,AA97/AA96)</f>
        <v>0.0204351523414893</v>
      </c>
      <c r="AB99" s="34" t="n">
        <f aca="false">IF(AB96=0,0,AB97/AB96)</f>
        <v>-0.101209438208946</v>
      </c>
      <c r="AC99" s="34" t="n">
        <f aca="false">IF(AC96=0,0,AC97/AC96)</f>
        <v>0.0211942444209365</v>
      </c>
    </row>
    <row r="101" customFormat="false" ht="15" hidden="false" customHeight="false" outlineLevel="0" collapsed="false">
      <c r="A101" s="5" t="s">
        <v>499</v>
      </c>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customFormat="false" ht="15" hidden="false" customHeight="false" outlineLevel="0" collapsed="false">
      <c r="A102" s="3" t="s">
        <v>500</v>
      </c>
      <c r="C102" s="63" t="n">
        <f aca="false">SUM(D51:U51)</f>
        <v>633156</v>
      </c>
    </row>
    <row r="103" customFormat="false" ht="15" hidden="false" customHeight="false" outlineLevel="0" collapsed="false">
      <c r="A103" s="3" t="s">
        <v>501</v>
      </c>
      <c r="C103" s="63" t="n">
        <f aca="false">SUM(D63:U63)</f>
        <v>-19636.1</v>
      </c>
    </row>
    <row r="104" customFormat="false" ht="15" hidden="false" customHeight="false" outlineLevel="0" collapsed="false">
      <c r="A104" s="3" t="s">
        <v>502</v>
      </c>
      <c r="C104" s="56" t="n">
        <f aca="false">IF(C102=0,0,C103/C102)</f>
        <v>-0.0310130520756338</v>
      </c>
    </row>
    <row r="105" customFormat="false" ht="15" hidden="false" customHeight="false" outlineLevel="0" collapsed="false">
      <c r="A105" s="3" t="s">
        <v>503</v>
      </c>
      <c r="C105" s="64" t="str">
        <f aca="false">IFERROR(MATCH(1,D69:U69,0),"none")</f>
        <v>none</v>
      </c>
    </row>
    <row r="106" customFormat="false" ht="15" hidden="false" customHeight="false" outlineLevel="0" collapsed="false">
      <c r="A106" s="3" t="s">
        <v>504</v>
      </c>
      <c r="C106" s="63" t="n">
        <f aca="false">U51*12</f>
        <v>834480</v>
      </c>
    </row>
    <row r="107" customFormat="false" ht="15" hidden="false" customHeight="false" outlineLevel="0" collapsed="false">
      <c r="A107" s="3" t="s">
        <v>505</v>
      </c>
      <c r="C107" s="56" t="n">
        <f aca="false">U65</f>
        <v>0.0224649122807018</v>
      </c>
    </row>
    <row r="108" customFormat="false" ht="15" hidden="false" customHeight="false" outlineLevel="0" collapsed="false">
      <c r="A108" s="3" t="s">
        <v>506</v>
      </c>
      <c r="C108" s="65" t="n">
        <f aca="false">SUM(D49:U49)</f>
        <v>16662</v>
      </c>
    </row>
    <row r="109" customFormat="false" ht="15" hidden="false" customHeight="false" outlineLevel="0" collapsed="false">
      <c r="A109" s="3" t="s">
        <v>507</v>
      </c>
      <c r="C109" s="64" t="str">
        <f aca="false">IFERROR(MATCH(1,D69:AA69,0),"none")</f>
        <v>none</v>
      </c>
    </row>
    <row r="110" customFormat="false" ht="15" hidden="false" customHeight="false" outlineLevel="0" collapsed="false">
      <c r="A110" s="3" t="s">
        <v>508</v>
      </c>
      <c r="C110" s="63" t="n">
        <f aca="false">SUM(D96:AA96)</f>
        <v>910180.56</v>
      </c>
    </row>
    <row r="111" customFormat="false" ht="15" hidden="false" customHeight="false" outlineLevel="0" collapsed="false">
      <c r="A111" s="3" t="s">
        <v>509</v>
      </c>
      <c r="C111" s="63" t="n">
        <f aca="false">SUM(D97:AA97)</f>
        <v>-13557.1734</v>
      </c>
    </row>
    <row r="113" customFormat="false" ht="15" hidden="false" customHeight="false" outlineLevel="0" collapsed="false">
      <c r="A113" s="5" t="s">
        <v>853</v>
      </c>
      <c r="B113" s="15"/>
      <c r="C113" s="15"/>
      <c r="D113" s="15"/>
      <c r="E113" s="15"/>
      <c r="F113" s="15"/>
      <c r="G113" s="15"/>
      <c r="H113" s="15"/>
    </row>
    <row r="114" customFormat="false" ht="15" hidden="false" customHeight="false" outlineLevel="0" collapsed="false">
      <c r="A114" s="14" t="s">
        <v>444</v>
      </c>
      <c r="B114" s="14" t="s">
        <v>53</v>
      </c>
      <c r="C114" s="14" t="s">
        <v>446</v>
      </c>
      <c r="D114" s="14" t="s">
        <v>447</v>
      </c>
      <c r="E114" s="14" t="s">
        <v>512</v>
      </c>
      <c r="F114" s="14" t="s">
        <v>513</v>
      </c>
      <c r="G114" s="14" t="s">
        <v>514</v>
      </c>
      <c r="H114" s="14" t="s">
        <v>58</v>
      </c>
    </row>
    <row r="115" customFormat="false" ht="15" hidden="false" customHeight="false" outlineLevel="0" collapsed="false">
      <c r="A115" s="9" t="s">
        <v>515</v>
      </c>
    </row>
    <row r="116" customFormat="false" ht="15" hidden="false" customHeight="false" outlineLevel="0" collapsed="false">
      <c r="A116" s="3" t="s">
        <v>516</v>
      </c>
      <c r="B116" s="3" t="s">
        <v>95</v>
      </c>
      <c r="C116" s="31" t="n">
        <f aca="false">AB49</f>
        <v>7062</v>
      </c>
      <c r="D116" s="31" t="n">
        <f aca="false">AC49</f>
        <v>15639</v>
      </c>
      <c r="E116" s="62" t="n">
        <f aca="false">D116*(1+Assumptions!$C$37)</f>
        <v>17202.9</v>
      </c>
      <c r="F116" s="62" t="n">
        <f aca="false">E116*(1+Assumptions!$C$38)</f>
        <v>18579.132</v>
      </c>
      <c r="G116" s="62" t="n">
        <f aca="false">F116*(1+Assumptions!$C$39)</f>
        <v>19508.0886</v>
      </c>
      <c r="H116" s="3" t="s">
        <v>517</v>
      </c>
    </row>
    <row r="117" customFormat="false" ht="15" hidden="false" customHeight="false" outlineLevel="0" collapsed="false">
      <c r="A117" s="3" t="s">
        <v>518</v>
      </c>
      <c r="B117" s="3" t="s">
        <v>454</v>
      </c>
      <c r="C117" s="40" t="n">
        <f aca="false">AB50</f>
        <v>38</v>
      </c>
      <c r="D117" s="40" t="n">
        <f aca="false">AC50</f>
        <v>38</v>
      </c>
      <c r="E117" s="35" t="n">
        <f aca="false">D117*(1+Assumptions!$C$40)*IF(3=3,1+Assumptions!$C$41,1)</f>
        <v>36.48</v>
      </c>
      <c r="F117" s="35" t="n">
        <f aca="false">E117*(1+Assumptions!$C$40)*IF(4=3,1+Assumptions!$C$41,1)</f>
        <v>35.0208</v>
      </c>
      <c r="G117" s="35" t="n">
        <f aca="false">F117*(1+Assumptions!$C$40)*IF(5=3,1+Assumptions!$C$41,1)</f>
        <v>33.619968</v>
      </c>
      <c r="H117" s="3"/>
    </row>
    <row r="118" customFormat="false" ht="15" hidden="false" customHeight="false" outlineLevel="0" collapsed="false">
      <c r="A118" s="3" t="s">
        <v>519</v>
      </c>
      <c r="B118" s="3" t="s">
        <v>66</v>
      </c>
      <c r="C118" s="34" t="n">
        <f aca="false">AB72</f>
        <v>0.43</v>
      </c>
      <c r="D118" s="34" t="n">
        <f aca="false">AC72</f>
        <v>0.43</v>
      </c>
      <c r="E118" s="54" t="n">
        <f aca="false">LandedPctLow+Assumptions!$C$34</f>
        <v>0.43</v>
      </c>
      <c r="F118" s="54" t="n">
        <f aca="false">LandedPctLow+Assumptions!$C$35</f>
        <v>0.43</v>
      </c>
      <c r="G118" s="54" t="n">
        <f aca="false">LandedPctLow+Assumptions!$C$36</f>
        <v>0.43</v>
      </c>
      <c r="H118" s="3"/>
    </row>
    <row r="119" customFormat="false" ht="15" hidden="false" customHeight="false" outlineLevel="0" collapsed="false">
      <c r="A119" s="3" t="s">
        <v>520</v>
      </c>
      <c r="B119" s="3" t="s">
        <v>66</v>
      </c>
      <c r="C119" s="34" t="n">
        <f aca="false">AB75</f>
        <v>0.241274426508071</v>
      </c>
      <c r="D119" s="34" t="n">
        <f aca="false">AC75</f>
        <v>0.18</v>
      </c>
      <c r="E119" s="54" t="n">
        <f aca="false">Assumptions!$C$42</f>
        <v>0.13</v>
      </c>
      <c r="F119" s="54" t="n">
        <f aca="false">Assumptions!$C$43</f>
        <v>0.135</v>
      </c>
      <c r="G119" s="54" t="n">
        <f aca="false">Assumptions!$C$44</f>
        <v>0.165</v>
      </c>
      <c r="H119" s="3"/>
    </row>
    <row r="120" customFormat="false" ht="15" hidden="false" customHeight="false" outlineLevel="0" collapsed="false">
      <c r="A120" s="3" t="s">
        <v>521</v>
      </c>
      <c r="B120" s="3" t="s">
        <v>66</v>
      </c>
      <c r="C120" s="34" t="n">
        <f aca="false">AB74</f>
        <v>0.04</v>
      </c>
      <c r="D120" s="34" t="n">
        <f aca="false">AC74</f>
        <v>0.04</v>
      </c>
      <c r="E120" s="54" t="n">
        <f aca="false">Assumptions!$C$31</f>
        <v>0.04</v>
      </c>
      <c r="F120" s="54" t="n">
        <f aca="false">Assumptions!$C$31</f>
        <v>0.04</v>
      </c>
      <c r="G120" s="54" t="n">
        <f aca="false">Assumptions!$C$31</f>
        <v>0.04</v>
      </c>
      <c r="H120" s="3"/>
    </row>
    <row r="121" customFormat="false" ht="15" hidden="false" customHeight="false" outlineLevel="0" collapsed="false">
      <c r="A121" s="3" t="s">
        <v>522</v>
      </c>
      <c r="B121" s="3" t="s">
        <v>454</v>
      </c>
      <c r="C121" s="40" t="n">
        <f aca="false">AB73</f>
        <v>5.5</v>
      </c>
      <c r="D121" s="40" t="n">
        <f aca="false">AC73</f>
        <v>5.56371475158258</v>
      </c>
      <c r="E121" s="35" t="n">
        <f aca="false">Assumptions!$C$20*(1+Assumptions!$C$32)^(3-1)</f>
        <v>5.83495</v>
      </c>
      <c r="F121" s="35" t="n">
        <f aca="false">Assumptions!$C$20*(1+Assumptions!$C$32)^(4-1)</f>
        <v>6.0099985</v>
      </c>
      <c r="G121" s="35" t="n">
        <f aca="false">Assumptions!$C$20*(1+Assumptions!$C$32)^(5-1)</f>
        <v>6.190298455</v>
      </c>
      <c r="H121" s="3"/>
    </row>
    <row r="123" customFormat="false" ht="15" hidden="false" customHeight="false" outlineLevel="0" collapsed="false">
      <c r="A123" s="9" t="s">
        <v>523</v>
      </c>
    </row>
    <row r="124" customFormat="false" ht="15" hidden="false" customHeight="false" outlineLevel="0" collapsed="false">
      <c r="A124" s="3" t="s">
        <v>524</v>
      </c>
      <c r="B124" s="3" t="s">
        <v>95</v>
      </c>
      <c r="C124" s="31" t="n">
        <f aca="false">AB49</f>
        <v>7062</v>
      </c>
      <c r="D124" s="31" t="n">
        <f aca="false">AC49</f>
        <v>15639</v>
      </c>
      <c r="E124" s="31" t="n">
        <f aca="false">E116</f>
        <v>17202.9</v>
      </c>
      <c r="F124" s="31" t="n">
        <f aca="false">F116</f>
        <v>18579.132</v>
      </c>
      <c r="G124" s="31" t="n">
        <f aca="false">G116</f>
        <v>19508.0886</v>
      </c>
      <c r="H124" s="3"/>
    </row>
    <row r="125" customFormat="false" ht="15" hidden="false" customHeight="false" outlineLevel="0" collapsed="false">
      <c r="A125" s="9" t="s">
        <v>455</v>
      </c>
      <c r="B125" s="3" t="s">
        <v>62</v>
      </c>
      <c r="C125" s="29" t="n">
        <f aca="false">AB51</f>
        <v>268356</v>
      </c>
      <c r="D125" s="29" t="n">
        <f aca="false">AC51</f>
        <v>594282</v>
      </c>
      <c r="E125" s="29" t="n">
        <f aca="false">E124*E117</f>
        <v>627561.792</v>
      </c>
      <c r="F125" s="29" t="n">
        <f aca="false">F124*F117</f>
        <v>650656.0659456</v>
      </c>
      <c r="G125" s="29" t="n">
        <f aca="false">G124*G117</f>
        <v>655861.314473165</v>
      </c>
      <c r="H125" s="3"/>
    </row>
    <row r="126" customFormat="false" ht="15" hidden="false" customHeight="false" outlineLevel="0" collapsed="false">
      <c r="A126" s="3" t="s">
        <v>456</v>
      </c>
      <c r="B126" s="3" t="s">
        <v>62</v>
      </c>
      <c r="C126" s="38" t="n">
        <f aca="false">AB52</f>
        <v>115393.08</v>
      </c>
      <c r="D126" s="38" t="n">
        <f aca="false">AC52</f>
        <v>255541.26</v>
      </c>
      <c r="E126" s="38" t="n">
        <f aca="false">E125*E118</f>
        <v>269851.57056</v>
      </c>
      <c r="F126" s="38" t="n">
        <f aca="false">F125*F118</f>
        <v>279782.108356608</v>
      </c>
      <c r="G126" s="38" t="n">
        <f aca="false">G125*G118</f>
        <v>282020.365223461</v>
      </c>
      <c r="H126" s="3"/>
    </row>
    <row r="127" customFormat="false" ht="15" hidden="false" customHeight="false" outlineLevel="0" collapsed="false">
      <c r="A127" s="3" t="s">
        <v>525</v>
      </c>
      <c r="B127" s="3" t="s">
        <v>62</v>
      </c>
      <c r="C127" s="38" t="n">
        <f aca="false">AB53</f>
        <v>40253.4</v>
      </c>
      <c r="D127" s="38" t="n">
        <f aca="false">AC53</f>
        <v>89142.3</v>
      </c>
      <c r="E127" s="60" t="n">
        <f aca="false">E125*Assumptions!$C$19</f>
        <v>94134.2688</v>
      </c>
      <c r="F127" s="60" t="n">
        <f aca="false">F125*Assumptions!$C$19</f>
        <v>97598.40989184</v>
      </c>
      <c r="G127" s="60" t="n">
        <f aca="false">G125*Assumptions!$C$19</f>
        <v>98379.1971709747</v>
      </c>
      <c r="H127" s="3"/>
    </row>
    <row r="128" customFormat="false" ht="15" hidden="false" customHeight="false" outlineLevel="0" collapsed="false">
      <c r="A128" s="3" t="s">
        <v>526</v>
      </c>
      <c r="B128" s="3" t="s">
        <v>62</v>
      </c>
      <c r="C128" s="38" t="n">
        <f aca="false">AB54</f>
        <v>38841</v>
      </c>
      <c r="D128" s="38" t="n">
        <f aca="false">AC54</f>
        <v>87010.935</v>
      </c>
      <c r="E128" s="38" t="n">
        <f aca="false">E124*E121</f>
        <v>100378.061355</v>
      </c>
      <c r="F128" s="38" t="n">
        <f aca="false">F124*F121</f>
        <v>111660.555451302</v>
      </c>
      <c r="G128" s="38" t="n">
        <f aca="false">G124*G121</f>
        <v>120760.890720583</v>
      </c>
      <c r="H128" s="3"/>
    </row>
    <row r="129" customFormat="false" ht="15" hidden="false" customHeight="false" outlineLevel="0" collapsed="false">
      <c r="A129" s="3" t="s">
        <v>527</v>
      </c>
      <c r="B129" s="3" t="s">
        <v>62</v>
      </c>
      <c r="C129" s="38" t="n">
        <f aca="false">AB57</f>
        <v>64747.44</v>
      </c>
      <c r="D129" s="38" t="n">
        <f aca="false">AC57</f>
        <v>106970.76</v>
      </c>
      <c r="E129" s="38" t="n">
        <f aca="false">E125*E119</f>
        <v>81583.03296</v>
      </c>
      <c r="F129" s="38" t="n">
        <f aca="false">F125*F119</f>
        <v>87838.568902656</v>
      </c>
      <c r="G129" s="38" t="n">
        <f aca="false">G125*G119</f>
        <v>108217.116888072</v>
      </c>
      <c r="H129" s="3"/>
    </row>
    <row r="130" customFormat="false" ht="15" hidden="false" customHeight="false" outlineLevel="0" collapsed="false">
      <c r="A130" s="3" t="s">
        <v>321</v>
      </c>
      <c r="B130" s="3" t="s">
        <v>62</v>
      </c>
      <c r="C130" s="38" t="n">
        <f aca="false">AB55+AB56</f>
        <v>16101.36</v>
      </c>
      <c r="D130" s="38" t="n">
        <f aca="false">AC55+AC56</f>
        <v>35656.92</v>
      </c>
      <c r="E130" s="60" t="n">
        <f aca="false">E125*(E120+Assumptions!$C$21)</f>
        <v>37653.70752</v>
      </c>
      <c r="F130" s="60" t="n">
        <f aca="false">F125*(F120+Assumptions!$C$21)</f>
        <v>39039.363956736</v>
      </c>
      <c r="G130" s="60" t="n">
        <f aca="false">G125*(G120+Assumptions!$C$21)</f>
        <v>39351.6788683899</v>
      </c>
      <c r="H130" s="3"/>
    </row>
    <row r="131" customFormat="false" ht="15" hidden="false" customHeight="false" outlineLevel="0" collapsed="false">
      <c r="A131" s="9" t="s">
        <v>528</v>
      </c>
      <c r="B131" s="3" t="s">
        <v>62</v>
      </c>
      <c r="C131" s="29" t="n">
        <f aca="false">C125-C126-C127-C128-C129-C130</f>
        <v>-6980.28000000001</v>
      </c>
      <c r="D131" s="29" t="n">
        <f aca="false">D125-D126-D127-D128-D129-D130</f>
        <v>19959.825</v>
      </c>
      <c r="E131" s="29" t="n">
        <f aca="false">E125-E126-E127-E128-E129-E130</f>
        <v>43961.150805</v>
      </c>
      <c r="F131" s="29" t="n">
        <f aca="false">F125-F126-F127-F128-F129-F130</f>
        <v>34737.059386458</v>
      </c>
      <c r="G131" s="29" t="n">
        <f aca="false">G125-G126-G127-G128-G129-G130</f>
        <v>7132.065601684</v>
      </c>
      <c r="H131" s="3"/>
    </row>
    <row r="132" customFormat="false" ht="15" hidden="false" customHeight="false" outlineLevel="0" collapsed="false">
      <c r="A132" s="9" t="s">
        <v>529</v>
      </c>
    </row>
    <row r="133" customFormat="false" ht="15" hidden="false" customHeight="false" outlineLevel="0" collapsed="false">
      <c r="A133" s="3" t="s">
        <v>524</v>
      </c>
      <c r="B133" s="3" t="s">
        <v>95</v>
      </c>
      <c r="C133" s="31" t="n">
        <f aca="false">AB79</f>
        <v>0</v>
      </c>
      <c r="D133" s="31" t="n">
        <f aca="false">AC79</f>
        <v>1251.12</v>
      </c>
      <c r="E133" s="31" t="n">
        <f aca="false">IF(E117=0,0,E134/E117)</f>
        <v>1376.232</v>
      </c>
      <c r="F133" s="31" t="n">
        <f aca="false">IF(F117=0,0,F134/F117)</f>
        <v>1486.33056</v>
      </c>
      <c r="G133" s="31" t="n">
        <f aca="false">IF(G117=0,0,G134/G117)</f>
        <v>1560.647088</v>
      </c>
      <c r="H133" s="3"/>
    </row>
    <row r="134" customFormat="false" ht="15" hidden="false" customHeight="false" outlineLevel="0" collapsed="false">
      <c r="A134" s="9" t="s">
        <v>455</v>
      </c>
      <c r="B134" s="3" t="s">
        <v>62</v>
      </c>
      <c r="C134" s="29" t="n">
        <f aca="false">AB78</f>
        <v>0</v>
      </c>
      <c r="D134" s="29" t="n">
        <f aca="false">AC78</f>
        <v>47542.56</v>
      </c>
      <c r="E134" s="61" t="n">
        <f aca="false">E125*Assumptions!$C$50</f>
        <v>50204.94336</v>
      </c>
      <c r="F134" s="61" t="n">
        <f aca="false">F125*Assumptions!$C$51</f>
        <v>52052.485275648</v>
      </c>
      <c r="G134" s="61" t="n">
        <f aca="false">G125*Assumptions!$C$52</f>
        <v>52468.9051578532</v>
      </c>
      <c r="H134" s="3"/>
    </row>
    <row r="135" customFormat="false" ht="15" hidden="false" customHeight="false" outlineLevel="0" collapsed="false">
      <c r="A135" s="3" t="s">
        <v>456</v>
      </c>
      <c r="B135" s="3" t="s">
        <v>62</v>
      </c>
      <c r="C135" s="38" t="n">
        <f aca="false">AB80</f>
        <v>0</v>
      </c>
      <c r="D135" s="38" t="n">
        <f aca="false">AC80</f>
        <v>20443.3008</v>
      </c>
      <c r="E135" s="38" t="n">
        <f aca="false">E134*E118</f>
        <v>21588.1256448</v>
      </c>
      <c r="F135" s="38" t="n">
        <f aca="false">F134*F118</f>
        <v>22382.5686685286</v>
      </c>
      <c r="G135" s="38" t="n">
        <f aca="false">G134*G118</f>
        <v>22561.6292178769</v>
      </c>
      <c r="H135" s="3"/>
    </row>
    <row r="136" customFormat="false" ht="15" hidden="false" customHeight="false" outlineLevel="0" collapsed="false">
      <c r="A136" s="3" t="s">
        <v>525</v>
      </c>
      <c r="B136" s="3" t="s">
        <v>62</v>
      </c>
      <c r="C136" s="38" t="n">
        <f aca="false">AB81</f>
        <v>0</v>
      </c>
      <c r="D136" s="38" t="n">
        <f aca="false">AC81</f>
        <v>6180.5328</v>
      </c>
      <c r="E136" s="60" t="n">
        <f aca="false">E134*Assumptions!$C$66</f>
        <v>6526.6426368</v>
      </c>
      <c r="F136" s="60" t="n">
        <f aca="false">F134*Assumptions!$C$66</f>
        <v>6766.82308583424</v>
      </c>
      <c r="G136" s="60" t="n">
        <f aca="false">G134*Assumptions!$C$66</f>
        <v>6820.95767052091</v>
      </c>
      <c r="H136" s="3"/>
    </row>
    <row r="137" customFormat="false" ht="15" hidden="false" customHeight="false" outlineLevel="0" collapsed="false">
      <c r="A137" s="3" t="s">
        <v>526</v>
      </c>
      <c r="B137" s="3" t="s">
        <v>62</v>
      </c>
      <c r="C137" s="38" t="n">
        <f aca="false">AB82</f>
        <v>0</v>
      </c>
      <c r="D137" s="38" t="n">
        <f aca="false">AC82</f>
        <v>8132.28</v>
      </c>
      <c r="E137" s="60" t="n">
        <f aca="false">E133*Assumptions!$C$67</f>
        <v>8945.508</v>
      </c>
      <c r="F137" s="60" t="n">
        <f aca="false">F133*Assumptions!$C$67</f>
        <v>9661.14864</v>
      </c>
      <c r="G137" s="60" t="n">
        <f aca="false">G133*Assumptions!$C$67</f>
        <v>10144.206072</v>
      </c>
      <c r="H137" s="3"/>
    </row>
    <row r="138" customFormat="false" ht="15" hidden="false" customHeight="false" outlineLevel="0" collapsed="false">
      <c r="A138" s="3" t="s">
        <v>527</v>
      </c>
      <c r="B138" s="3" t="s">
        <v>62</v>
      </c>
      <c r="C138" s="38" t="n">
        <f aca="false">AB83</f>
        <v>0</v>
      </c>
      <c r="D138" s="38" t="n">
        <f aca="false">AC83</f>
        <v>2377.128</v>
      </c>
      <c r="E138" s="60" t="n">
        <f aca="false">E134*Assumptions!$C$68</f>
        <v>2510.247168</v>
      </c>
      <c r="F138" s="60" t="n">
        <f aca="false">F134*Assumptions!$C$68</f>
        <v>2602.6242637824</v>
      </c>
      <c r="G138" s="60" t="n">
        <f aca="false">G134*Assumptions!$C$68</f>
        <v>2623.44525789266</v>
      </c>
      <c r="H138" s="3"/>
    </row>
    <row r="139" customFormat="false" ht="15" hidden="false" customHeight="false" outlineLevel="0" collapsed="false">
      <c r="A139" s="3" t="s">
        <v>321</v>
      </c>
      <c r="B139" s="3" t="s">
        <v>62</v>
      </c>
      <c r="C139" s="38" t="n">
        <f aca="false">AB84</f>
        <v>0</v>
      </c>
      <c r="D139" s="38" t="n">
        <f aca="false">AC84</f>
        <v>1426.2768</v>
      </c>
      <c r="E139" s="60" t="n">
        <f aca="false">E134*Assumptions!$C$69</f>
        <v>1506.1483008</v>
      </c>
      <c r="F139" s="60" t="n">
        <f aca="false">F134*Assumptions!$C$69</f>
        <v>1561.57455826944</v>
      </c>
      <c r="G139" s="60" t="n">
        <f aca="false">G134*Assumptions!$C$69</f>
        <v>1574.0671547356</v>
      </c>
      <c r="H139" s="3"/>
    </row>
    <row r="140" customFormat="false" ht="15" hidden="false" customHeight="false" outlineLevel="0" collapsed="false">
      <c r="A140" s="9" t="s">
        <v>528</v>
      </c>
      <c r="B140" s="3" t="s">
        <v>62</v>
      </c>
      <c r="C140" s="29" t="n">
        <f aca="false">C134-C135-C136-C137-C138-C139</f>
        <v>0</v>
      </c>
      <c r="D140" s="29" t="n">
        <f aca="false">D134-D135-D136-D137-D138-D139</f>
        <v>8983.0416</v>
      </c>
      <c r="E140" s="29" t="n">
        <f aca="false">E134-E135-E136-E137-E138-E139</f>
        <v>9128.2716096</v>
      </c>
      <c r="F140" s="29" t="n">
        <f aca="false">F134-F135-F136-F137-F138-F139</f>
        <v>9077.74605923328</v>
      </c>
      <c r="G140" s="29" t="n">
        <f aca="false">G134-G135-G136-G137-G138-G139</f>
        <v>8744.59978482714</v>
      </c>
      <c r="H140" s="3"/>
    </row>
    <row r="141" customFormat="false" ht="15" hidden="false" customHeight="false" outlineLevel="0" collapsed="false">
      <c r="A141" s="9" t="s">
        <v>530</v>
      </c>
    </row>
    <row r="142" customFormat="false" ht="15" hidden="false" customHeight="false" outlineLevel="0" collapsed="false">
      <c r="A142" s="3" t="s">
        <v>524</v>
      </c>
      <c r="B142" s="3" t="s">
        <v>95</v>
      </c>
      <c r="C142" s="31" t="n">
        <f aca="false">AB87</f>
        <v>0</v>
      </c>
      <c r="D142" s="31" t="n">
        <f aca="false">AC87</f>
        <v>0</v>
      </c>
      <c r="E142" s="62" t="n">
        <f aca="false">IF(E117=0,0,E143/(E117*Assumptions!$C$70))</f>
        <v>2741.22807017544</v>
      </c>
      <c r="F142" s="62" t="n">
        <f aca="false">IF(F117=0,0,F143/(F117*Assumptions!$C$70))</f>
        <v>2855.44590643275</v>
      </c>
      <c r="G142" s="62" t="n">
        <f aca="false">IF(G117=0,0,G143/(G117*Assumptions!$C$70))</f>
        <v>2974.42281920078</v>
      </c>
      <c r="H142" s="3"/>
    </row>
    <row r="143" customFormat="false" ht="15" hidden="false" customHeight="false" outlineLevel="0" collapsed="false">
      <c r="A143" s="9" t="s">
        <v>455</v>
      </c>
      <c r="B143" s="3" t="s">
        <v>62</v>
      </c>
      <c r="C143" s="29" t="n">
        <f aca="false">AB86</f>
        <v>0</v>
      </c>
      <c r="D143" s="29" t="n">
        <f aca="false">AC86</f>
        <v>0</v>
      </c>
      <c r="E143" s="61" t="n">
        <f aca="false">Assumptions!$C$54</f>
        <v>60000</v>
      </c>
      <c r="F143" s="61" t="n">
        <f aca="false">Assumptions!$C$55</f>
        <v>60000</v>
      </c>
      <c r="G143" s="61" t="n">
        <f aca="false">Assumptions!$C$56</f>
        <v>60000</v>
      </c>
      <c r="H143" s="3"/>
    </row>
    <row r="144" customFormat="false" ht="15" hidden="false" customHeight="false" outlineLevel="0" collapsed="false">
      <c r="A144" s="3" t="s">
        <v>456</v>
      </c>
      <c r="B144" s="3" t="s">
        <v>62</v>
      </c>
      <c r="C144" s="38" t="n">
        <f aca="false">AB88</f>
        <v>0</v>
      </c>
      <c r="D144" s="38" t="n">
        <f aca="false">AC88</f>
        <v>0</v>
      </c>
      <c r="E144" s="38" t="n">
        <f aca="false">E142*E117*E118</f>
        <v>43000</v>
      </c>
      <c r="F144" s="38" t="n">
        <f aca="false">F142*F117*F118</f>
        <v>43000</v>
      </c>
      <c r="G144" s="38" t="n">
        <f aca="false">G142*G117*G118</f>
        <v>43000</v>
      </c>
      <c r="H144" s="3"/>
    </row>
    <row r="145" customFormat="false" ht="15" hidden="false" customHeight="false" outlineLevel="0" collapsed="false">
      <c r="A145" s="3" t="s">
        <v>525</v>
      </c>
      <c r="B145" s="3" t="s">
        <v>62</v>
      </c>
      <c r="C145" s="38" t="n">
        <f aca="false">AB90</f>
        <v>0</v>
      </c>
      <c r="D145" s="38" t="n">
        <f aca="false">AC90</f>
        <v>0</v>
      </c>
      <c r="E145" s="60" t="n">
        <f aca="false">E143*Assumptions!$C$72</f>
        <v>3000</v>
      </c>
      <c r="F145" s="60" t="n">
        <f aca="false">F143*Assumptions!$C$72</f>
        <v>3000</v>
      </c>
      <c r="G145" s="60" t="n">
        <f aca="false">G143*Assumptions!$C$72</f>
        <v>3000</v>
      </c>
      <c r="H145" s="3"/>
    </row>
    <row r="146" customFormat="false" ht="15" hidden="false" customHeight="false" outlineLevel="0" collapsed="false">
      <c r="A146" s="3" t="s">
        <v>526</v>
      </c>
      <c r="B146" s="3" t="s">
        <v>62</v>
      </c>
      <c r="C146" s="38" t="n">
        <f aca="false">AB89</f>
        <v>0</v>
      </c>
      <c r="D146" s="38" t="n">
        <f aca="false">AC89</f>
        <v>0</v>
      </c>
      <c r="E146" s="60" t="n">
        <f aca="false">E142*Assumptions!$C$71</f>
        <v>10964.9122807018</v>
      </c>
      <c r="F146" s="60" t="n">
        <f aca="false">F142*Assumptions!$C$71</f>
        <v>11421.783625731</v>
      </c>
      <c r="G146" s="60" t="n">
        <f aca="false">G142*Assumptions!$C$71</f>
        <v>11897.6912768031</v>
      </c>
      <c r="H146" s="3"/>
    </row>
    <row r="147" customFormat="false" ht="15" hidden="false" customHeight="false" outlineLevel="0" collapsed="false">
      <c r="A147" s="3" t="s">
        <v>527</v>
      </c>
      <c r="B147" s="3" t="s">
        <v>62</v>
      </c>
      <c r="C147" s="38" t="n">
        <f aca="false">AB91</f>
        <v>0</v>
      </c>
      <c r="D147" s="38" t="n">
        <f aca="false">AC91</f>
        <v>0</v>
      </c>
      <c r="E147" s="60" t="n">
        <f aca="false">E143*Assumptions!$C$73</f>
        <v>1800</v>
      </c>
      <c r="F147" s="60" t="n">
        <f aca="false">F143*Assumptions!$C$73</f>
        <v>1800</v>
      </c>
      <c r="G147" s="60" t="n">
        <f aca="false">G143*Assumptions!$C$73</f>
        <v>1800</v>
      </c>
      <c r="H147" s="3"/>
    </row>
    <row r="148" customFormat="false" ht="15" hidden="false" customHeight="false" outlineLevel="0" collapsed="false">
      <c r="A148" s="3" t="s">
        <v>321</v>
      </c>
      <c r="B148" s="3" t="s">
        <v>62</v>
      </c>
      <c r="C148" s="38" t="n">
        <f aca="false">AB92</f>
        <v>0</v>
      </c>
      <c r="D148" s="38" t="n">
        <f aca="false">AC92</f>
        <v>0</v>
      </c>
      <c r="E148" s="60" t="n">
        <f aca="false">E143*Assumptions!$C$74</f>
        <v>1200</v>
      </c>
      <c r="F148" s="60" t="n">
        <f aca="false">F143*Assumptions!$C$74</f>
        <v>1200</v>
      </c>
      <c r="G148" s="60" t="n">
        <f aca="false">G143*Assumptions!$C$74</f>
        <v>1200</v>
      </c>
      <c r="H148" s="3"/>
    </row>
    <row r="149" customFormat="false" ht="15" hidden="false" customHeight="false" outlineLevel="0" collapsed="false">
      <c r="A149" s="9" t="s">
        <v>528</v>
      </c>
      <c r="B149" s="3" t="s">
        <v>62</v>
      </c>
      <c r="C149" s="29" t="n">
        <f aca="false">C143-C144-C145-C146-C147-C148</f>
        <v>0</v>
      </c>
      <c r="D149" s="29" t="n">
        <f aca="false">D143-D144-D145-D146-D147-D148</f>
        <v>0</v>
      </c>
      <c r="E149" s="29" t="n">
        <f aca="false">E143-E144-E145-E146-E147-E148</f>
        <v>35.0877192982443</v>
      </c>
      <c r="F149" s="29" t="n">
        <f aca="false">F143-F144-F145-F146-F147-F148</f>
        <v>-421.783625730996</v>
      </c>
      <c r="G149" s="29" t="n">
        <f aca="false">G143-G144-G145-G146-G147-G148</f>
        <v>-897.691276803122</v>
      </c>
      <c r="H149" s="3"/>
    </row>
    <row r="150" customFormat="false" ht="15" hidden="false" customHeight="false" outlineLevel="0" collapsed="false">
      <c r="A150" s="9" t="s">
        <v>531</v>
      </c>
    </row>
    <row r="151" customFormat="false" ht="15" hidden="false" customHeight="false" outlineLevel="0" collapsed="false">
      <c r="A151" s="3" t="s">
        <v>524</v>
      </c>
      <c r="B151" s="3" t="s">
        <v>95</v>
      </c>
      <c r="C151" s="31" t="n">
        <f aca="false">0</f>
        <v>0</v>
      </c>
      <c r="D151" s="31" t="n">
        <f aca="false">0</f>
        <v>0</v>
      </c>
      <c r="E151" s="31" t="n">
        <f aca="false">IF(E117=0,0,E152/E117)</f>
        <v>0</v>
      </c>
      <c r="F151" s="31" t="n">
        <f aca="false">IF(F117=0,0,F152/F117)</f>
        <v>0</v>
      </c>
      <c r="G151" s="31" t="n">
        <f aca="false">IF(G117=0,0,G152/G117)</f>
        <v>0</v>
      </c>
      <c r="H151" s="3"/>
    </row>
    <row r="152" customFormat="false" ht="15" hidden="false" customHeight="false" outlineLevel="0" collapsed="false">
      <c r="A152" s="9" t="s">
        <v>455</v>
      </c>
      <c r="B152" s="3" t="s">
        <v>62</v>
      </c>
      <c r="C152" s="29" t="n">
        <f aca="false">0</f>
        <v>0</v>
      </c>
      <c r="D152" s="29" t="n">
        <f aca="false">0</f>
        <v>0</v>
      </c>
      <c r="E152" s="61" t="n">
        <f aca="false">Assumptions!$C$57</f>
        <v>0</v>
      </c>
      <c r="F152" s="61" t="n">
        <f aca="false">Assumptions!$C$58</f>
        <v>0</v>
      </c>
      <c r="G152" s="61" t="n">
        <f aca="false">Assumptions!$C$59</f>
        <v>0</v>
      </c>
      <c r="H152" s="3"/>
    </row>
    <row r="153" customFormat="false" ht="15" hidden="false" customHeight="false" outlineLevel="0" collapsed="false">
      <c r="A153" s="3" t="s">
        <v>456</v>
      </c>
      <c r="B153" s="3" t="s">
        <v>62</v>
      </c>
      <c r="C153" s="38" t="n">
        <f aca="false">0</f>
        <v>0</v>
      </c>
      <c r="D153" s="38" t="n">
        <f aca="false">0</f>
        <v>0</v>
      </c>
      <c r="E153" s="38" t="n">
        <f aca="false">E152*E118</f>
        <v>0</v>
      </c>
      <c r="F153" s="38" t="n">
        <f aca="false">F152*F118</f>
        <v>0</v>
      </c>
      <c r="G153" s="38" t="n">
        <f aca="false">G152*G118</f>
        <v>0</v>
      </c>
      <c r="H153" s="3"/>
    </row>
    <row r="154" customFormat="false" ht="15" hidden="false" customHeight="false" outlineLevel="0" collapsed="false">
      <c r="A154" s="3" t="s">
        <v>525</v>
      </c>
      <c r="B154" s="3" t="s">
        <v>62</v>
      </c>
      <c r="C154" s="38" t="n">
        <f aca="false">0</f>
        <v>0</v>
      </c>
      <c r="D154" s="38" t="n">
        <f aca="false">0</f>
        <v>0</v>
      </c>
      <c r="E154" s="60" t="n">
        <f aca="false">E152*Assumptions!$C$75</f>
        <v>0</v>
      </c>
      <c r="F154" s="60" t="n">
        <f aca="false">F152*Assumptions!$C$75</f>
        <v>0</v>
      </c>
      <c r="G154" s="60" t="n">
        <f aca="false">G152*Assumptions!$C$75</f>
        <v>0</v>
      </c>
      <c r="H154" s="3"/>
    </row>
    <row r="155" customFormat="false" ht="15" hidden="false" customHeight="false" outlineLevel="0" collapsed="false">
      <c r="A155" s="3" t="s">
        <v>526</v>
      </c>
      <c r="B155" s="3" t="s">
        <v>62</v>
      </c>
      <c r="C155" s="38" t="n">
        <f aca="false">0</f>
        <v>0</v>
      </c>
      <c r="D155" s="38" t="n">
        <f aca="false">0</f>
        <v>0</v>
      </c>
      <c r="E155" s="60" t="n">
        <f aca="false">E151*Assumptions!$C$76</f>
        <v>0</v>
      </c>
      <c r="F155" s="60" t="n">
        <f aca="false">F151*Assumptions!$C$76</f>
        <v>0</v>
      </c>
      <c r="G155" s="60" t="n">
        <f aca="false">G151*Assumptions!$C$76</f>
        <v>0</v>
      </c>
      <c r="H155" s="3"/>
    </row>
    <row r="156" customFormat="false" ht="15" hidden="false" customHeight="false" outlineLevel="0" collapsed="false">
      <c r="A156" s="3" t="s">
        <v>527</v>
      </c>
      <c r="B156" s="3" t="s">
        <v>62</v>
      </c>
      <c r="C156" s="38" t="n">
        <f aca="false">0</f>
        <v>0</v>
      </c>
      <c r="D156" s="38" t="n">
        <f aca="false">0</f>
        <v>0</v>
      </c>
      <c r="E156" s="60" t="n">
        <f aca="false">E152*Assumptions!$C$77</f>
        <v>0</v>
      </c>
      <c r="F156" s="60" t="n">
        <f aca="false">F152*Assumptions!$C$77</f>
        <v>0</v>
      </c>
      <c r="G156" s="60" t="n">
        <f aca="false">G152*Assumptions!$C$77</f>
        <v>0</v>
      </c>
      <c r="H156" s="3"/>
    </row>
    <row r="157" customFormat="false" ht="15" hidden="false" customHeight="false" outlineLevel="0" collapsed="false">
      <c r="A157" s="3" t="s">
        <v>321</v>
      </c>
      <c r="B157" s="3" t="s">
        <v>62</v>
      </c>
      <c r="C157" s="38" t="n">
        <f aca="false">0</f>
        <v>0</v>
      </c>
      <c r="D157" s="38" t="n">
        <f aca="false">0</f>
        <v>0</v>
      </c>
      <c r="E157" s="60" t="n">
        <f aca="false">E152*Assumptions!$C$78</f>
        <v>0</v>
      </c>
      <c r="F157" s="60" t="n">
        <f aca="false">F152*Assumptions!$C$78</f>
        <v>0</v>
      </c>
      <c r="G157" s="60" t="n">
        <f aca="false">G152*Assumptions!$C$78</f>
        <v>0</v>
      </c>
      <c r="H157" s="3"/>
    </row>
    <row r="158" customFormat="false" ht="15" hidden="false" customHeight="false" outlineLevel="0" collapsed="false">
      <c r="A158" s="9" t="s">
        <v>528</v>
      </c>
      <c r="B158" s="3" t="s">
        <v>62</v>
      </c>
      <c r="C158" s="29" t="n">
        <f aca="false">C152-C153-C154-C155-C156-C157</f>
        <v>0</v>
      </c>
      <c r="D158" s="29" t="n">
        <f aca="false">D152-D153-D154-D155-D156-D157</f>
        <v>0</v>
      </c>
      <c r="E158" s="29" t="n">
        <f aca="false">E152-E153-E154-E155-E156-E157</f>
        <v>0</v>
      </c>
      <c r="F158" s="29" t="n">
        <f aca="false">F152-F153-F154-F155-F156-F157</f>
        <v>0</v>
      </c>
      <c r="G158" s="29" t="n">
        <f aca="false">G152-G153-G154-G155-G156-G157</f>
        <v>0</v>
      </c>
      <c r="H158" s="3"/>
    </row>
    <row r="159" customFormat="false" ht="15" hidden="false" customHeight="false" outlineLevel="0" collapsed="false">
      <c r="A159" s="9" t="s">
        <v>532</v>
      </c>
    </row>
    <row r="160" customFormat="false" ht="15" hidden="false" customHeight="false" outlineLevel="0" collapsed="false">
      <c r="A160" s="3" t="s">
        <v>524</v>
      </c>
      <c r="B160" s="3" t="s">
        <v>95</v>
      </c>
      <c r="C160" s="31" t="n">
        <f aca="false">0</f>
        <v>0</v>
      </c>
      <c r="D160" s="31" t="n">
        <f aca="false">0</f>
        <v>0</v>
      </c>
      <c r="E160" s="62" t="n">
        <f aca="false">IF(E117=0,0,E161/(E117*Assumptions!$C$79))</f>
        <v>0</v>
      </c>
      <c r="F160" s="62" t="n">
        <f aca="false">IF(F117=0,0,F161/(F117*Assumptions!$C$79))</f>
        <v>0</v>
      </c>
      <c r="G160" s="62" t="n">
        <f aca="false">IF(G117=0,0,G161/(G117*Assumptions!$C$79))</f>
        <v>0</v>
      </c>
      <c r="H160" s="3"/>
    </row>
    <row r="161" customFormat="false" ht="15" hidden="false" customHeight="false" outlineLevel="0" collapsed="false">
      <c r="A161" s="9" t="s">
        <v>455</v>
      </c>
      <c r="B161" s="3" t="s">
        <v>62</v>
      </c>
      <c r="C161" s="29" t="n">
        <f aca="false">0</f>
        <v>0</v>
      </c>
      <c r="D161" s="29" t="n">
        <f aca="false">0</f>
        <v>0</v>
      </c>
      <c r="E161" s="29" t="n">
        <f aca="false">0</f>
        <v>0</v>
      </c>
      <c r="F161" s="61" t="n">
        <f aca="false">Assumptions!$C$60</f>
        <v>0</v>
      </c>
      <c r="G161" s="61" t="n">
        <f aca="false">Assumptions!$C$61</f>
        <v>0</v>
      </c>
      <c r="H161" s="3"/>
    </row>
    <row r="162" customFormat="false" ht="15" hidden="false" customHeight="false" outlineLevel="0" collapsed="false">
      <c r="A162" s="3" t="s">
        <v>456</v>
      </c>
      <c r="B162" s="3" t="s">
        <v>62</v>
      </c>
      <c r="C162" s="38" t="n">
        <f aca="false">0</f>
        <v>0</v>
      </c>
      <c r="D162" s="38" t="n">
        <f aca="false">0</f>
        <v>0</v>
      </c>
      <c r="E162" s="60" t="n">
        <f aca="false">E160*E117*E118*(1+Assumptions!$C$84)</f>
        <v>0</v>
      </c>
      <c r="F162" s="60" t="n">
        <f aca="false">F160*F117*F118*(1+Assumptions!$C$84)</f>
        <v>0</v>
      </c>
      <c r="G162" s="60" t="n">
        <f aca="false">G160*G117*G118*(1+Assumptions!$C$84)</f>
        <v>0</v>
      </c>
      <c r="H162" s="3"/>
    </row>
    <row r="163" customFormat="false" ht="15" hidden="false" customHeight="false" outlineLevel="0" collapsed="false">
      <c r="A163" s="3" t="s">
        <v>525</v>
      </c>
      <c r="B163" s="3" t="s">
        <v>62</v>
      </c>
      <c r="C163" s="38" t="n">
        <f aca="false">0</f>
        <v>0</v>
      </c>
      <c r="D163" s="38" t="n">
        <f aca="false">0</f>
        <v>0</v>
      </c>
      <c r="E163" s="60" t="n">
        <f aca="false">E161*Assumptions!$C$81</f>
        <v>0</v>
      </c>
      <c r="F163" s="60" t="n">
        <f aca="false">F161*Assumptions!$C$81</f>
        <v>0</v>
      </c>
      <c r="G163" s="60" t="n">
        <f aca="false">G161*Assumptions!$C$81</f>
        <v>0</v>
      </c>
      <c r="H163" s="3"/>
    </row>
    <row r="164" customFormat="false" ht="15" hidden="false" customHeight="false" outlineLevel="0" collapsed="false">
      <c r="A164" s="3" t="s">
        <v>526</v>
      </c>
      <c r="B164" s="3" t="s">
        <v>62</v>
      </c>
      <c r="C164" s="38" t="n">
        <f aca="false">0</f>
        <v>0</v>
      </c>
      <c r="D164" s="38" t="n">
        <f aca="false">0</f>
        <v>0</v>
      </c>
      <c r="E164" s="60" t="n">
        <f aca="false">E160*Assumptions!$C$80</f>
        <v>0</v>
      </c>
      <c r="F164" s="60" t="n">
        <f aca="false">F160*Assumptions!$C$80</f>
        <v>0</v>
      </c>
      <c r="G164" s="60" t="n">
        <f aca="false">G160*Assumptions!$C$80</f>
        <v>0</v>
      </c>
      <c r="H164" s="3"/>
    </row>
    <row r="165" customFormat="false" ht="15" hidden="false" customHeight="false" outlineLevel="0" collapsed="false">
      <c r="A165" s="3" t="s">
        <v>527</v>
      </c>
      <c r="B165" s="3" t="s">
        <v>62</v>
      </c>
      <c r="C165" s="38" t="n">
        <f aca="false">0</f>
        <v>0</v>
      </c>
      <c r="D165" s="38" t="n">
        <f aca="false">0</f>
        <v>0</v>
      </c>
      <c r="E165" s="60" t="n">
        <f aca="false">E161*Assumptions!$C$82</f>
        <v>0</v>
      </c>
      <c r="F165" s="60" t="n">
        <f aca="false">F161*Assumptions!$C$82</f>
        <v>0</v>
      </c>
      <c r="G165" s="60" t="n">
        <f aca="false">G161*Assumptions!$C$82</f>
        <v>0</v>
      </c>
      <c r="H165" s="3"/>
    </row>
    <row r="166" customFormat="false" ht="15" hidden="false" customHeight="false" outlineLevel="0" collapsed="false">
      <c r="A166" s="3" t="s">
        <v>321</v>
      </c>
      <c r="B166" s="3" t="s">
        <v>62</v>
      </c>
      <c r="C166" s="38" t="n">
        <f aca="false">0</f>
        <v>0</v>
      </c>
      <c r="D166" s="38" t="n">
        <f aca="false">0</f>
        <v>0</v>
      </c>
      <c r="E166" s="60" t="n">
        <f aca="false">E161*Assumptions!$C$83</f>
        <v>0</v>
      </c>
      <c r="F166" s="60" t="n">
        <f aca="false">F161*Assumptions!$C$83</f>
        <v>0</v>
      </c>
      <c r="G166" s="60" t="n">
        <f aca="false">G161*Assumptions!$C$83</f>
        <v>0</v>
      </c>
      <c r="H166" s="3"/>
    </row>
    <row r="167" customFormat="false" ht="15" hidden="false" customHeight="false" outlineLevel="0" collapsed="false">
      <c r="A167" s="9" t="s">
        <v>528</v>
      </c>
      <c r="B167" s="3" t="s">
        <v>62</v>
      </c>
      <c r="C167" s="29" t="n">
        <f aca="false">C161-C162-C163-C164-C165-C166</f>
        <v>0</v>
      </c>
      <c r="D167" s="29" t="n">
        <f aca="false">D161-D162-D163-D164-D165-D166</f>
        <v>0</v>
      </c>
      <c r="E167" s="29" t="n">
        <f aca="false">E161-E162-E163-E164-E165-E166</f>
        <v>0</v>
      </c>
      <c r="F167" s="29" t="n">
        <f aca="false">F161-F162-F163-F164-F165-F166</f>
        <v>0</v>
      </c>
      <c r="G167" s="29" t="n">
        <f aca="false">G161-G162-G163-G164-G165-G166</f>
        <v>0</v>
      </c>
      <c r="H167" s="3"/>
    </row>
    <row r="168" customFormat="false" ht="15" hidden="false" customHeight="false" outlineLevel="0" collapsed="false">
      <c r="A168" s="9" t="s">
        <v>533</v>
      </c>
    </row>
    <row r="169" customFormat="false" ht="15" hidden="false" customHeight="false" outlineLevel="0" collapsed="false">
      <c r="A169" s="3" t="s">
        <v>524</v>
      </c>
      <c r="B169" s="3" t="s">
        <v>95</v>
      </c>
      <c r="C169" s="31" t="n">
        <f aca="false">0</f>
        <v>0</v>
      </c>
      <c r="D169" s="31" t="n">
        <f aca="false">0</f>
        <v>0</v>
      </c>
      <c r="E169" s="62" t="n">
        <f aca="false">IF(Assumptions!$C$85=0,0,E170/Assumptions!$C$85)</f>
        <v>0</v>
      </c>
      <c r="F169" s="62" t="n">
        <f aca="false">IF(Assumptions!$C$85=0,0,F170/Assumptions!$C$85)</f>
        <v>0</v>
      </c>
      <c r="G169" s="62" t="n">
        <f aca="false">IF(Assumptions!$C$85=0,0,G170/Assumptions!$C$85)</f>
        <v>0</v>
      </c>
      <c r="H169" s="3"/>
    </row>
    <row r="170" customFormat="false" ht="15" hidden="false" customHeight="false" outlineLevel="0" collapsed="false">
      <c r="A170" s="9" t="s">
        <v>455</v>
      </c>
      <c r="B170" s="3" t="s">
        <v>62</v>
      </c>
      <c r="C170" s="29" t="n">
        <f aca="false">0</f>
        <v>0</v>
      </c>
      <c r="D170" s="29" t="n">
        <f aca="false">0</f>
        <v>0</v>
      </c>
      <c r="E170" s="29" t="n">
        <f aca="false">0</f>
        <v>0</v>
      </c>
      <c r="F170" s="61" t="n">
        <f aca="false">Assumptions!$C$62</f>
        <v>0</v>
      </c>
      <c r="G170" s="61" t="n">
        <f aca="false">Assumptions!$C$63</f>
        <v>0</v>
      </c>
      <c r="H170" s="3"/>
    </row>
    <row r="171" customFormat="false" ht="15" hidden="false" customHeight="false" outlineLevel="0" collapsed="false">
      <c r="A171" s="3" t="s">
        <v>456</v>
      </c>
      <c r="B171" s="3" t="s">
        <v>62</v>
      </c>
      <c r="C171" s="38" t="n">
        <f aca="false">0</f>
        <v>0</v>
      </c>
      <c r="D171" s="38" t="n">
        <f aca="false">0</f>
        <v>0</v>
      </c>
      <c r="E171" s="60" t="n">
        <f aca="false">E170*Assumptions!$C$86</f>
        <v>0</v>
      </c>
      <c r="F171" s="60" t="n">
        <f aca="false">F170*Assumptions!$C$86</f>
        <v>0</v>
      </c>
      <c r="G171" s="60" t="n">
        <f aca="false">G170*Assumptions!$C$86</f>
        <v>0</v>
      </c>
      <c r="H171" s="3"/>
    </row>
    <row r="172" customFormat="false" ht="15" hidden="false" customHeight="false" outlineLevel="0" collapsed="false">
      <c r="A172" s="3" t="s">
        <v>525</v>
      </c>
      <c r="B172" s="3" t="s">
        <v>62</v>
      </c>
      <c r="C172" s="38" t="n">
        <f aca="false">0</f>
        <v>0</v>
      </c>
      <c r="D172" s="38" t="n">
        <f aca="false">0</f>
        <v>0</v>
      </c>
      <c r="E172" s="60" t="n">
        <f aca="false">E170*(Assumptions!$C$87*Assumptions!$C$72+(1-Assumptions!$C$87)*Assumptions!$C$19)</f>
        <v>0</v>
      </c>
      <c r="F172" s="60" t="n">
        <f aca="false">F170*(Assumptions!$C$87*Assumptions!$C$72+(1-Assumptions!$C$87)*Assumptions!$C$19)</f>
        <v>0</v>
      </c>
      <c r="G172" s="60" t="n">
        <f aca="false">G170*(Assumptions!$C$87*Assumptions!$C$72+(1-Assumptions!$C$87)*Assumptions!$C$19)</f>
        <v>0</v>
      </c>
      <c r="H172" s="3"/>
    </row>
    <row r="173" customFormat="false" ht="15" hidden="false" customHeight="false" outlineLevel="0" collapsed="false">
      <c r="A173" s="3" t="s">
        <v>526</v>
      </c>
      <c r="B173" s="3" t="s">
        <v>62</v>
      </c>
      <c r="C173" s="38" t="n">
        <f aca="false">0</f>
        <v>0</v>
      </c>
      <c r="D173" s="38" t="n">
        <f aca="false">0</f>
        <v>0</v>
      </c>
      <c r="E173" s="60" t="n">
        <f aca="false">E169*(Assumptions!$C$87*Assumptions!$C$71+(1-Assumptions!$C$87)*Assumptions!$C$88)</f>
        <v>0</v>
      </c>
      <c r="F173" s="60" t="n">
        <f aca="false">F169*(Assumptions!$C$87*Assumptions!$C$71+(1-Assumptions!$C$87)*Assumptions!$C$88)</f>
        <v>0</v>
      </c>
      <c r="G173" s="60" t="n">
        <f aca="false">G169*(Assumptions!$C$87*Assumptions!$C$71+(1-Assumptions!$C$87)*Assumptions!$C$88)</f>
        <v>0</v>
      </c>
      <c r="H173" s="3"/>
    </row>
    <row r="174" customFormat="false" ht="15" hidden="false" customHeight="false" outlineLevel="0" collapsed="false">
      <c r="A174" s="3" t="s">
        <v>527</v>
      </c>
      <c r="B174" s="3" t="s">
        <v>62</v>
      </c>
      <c r="C174" s="38" t="n">
        <f aca="false">0</f>
        <v>0</v>
      </c>
      <c r="D174" s="38" t="n">
        <f aca="false">0</f>
        <v>0</v>
      </c>
      <c r="E174" s="60" t="n">
        <f aca="false">E170*(Assumptions!$C$87*Assumptions!$C$73+(1-Assumptions!$C$87)*Assumptions!$C$89)</f>
        <v>0</v>
      </c>
      <c r="F174" s="60" t="n">
        <f aca="false">F170*(Assumptions!$C$87*Assumptions!$C$73+(1-Assumptions!$C$87)*Assumptions!$C$89)</f>
        <v>0</v>
      </c>
      <c r="G174" s="60" t="n">
        <f aca="false">G170*(Assumptions!$C$87*Assumptions!$C$73+(1-Assumptions!$C$87)*Assumptions!$C$89)</f>
        <v>0</v>
      </c>
      <c r="H174" s="3"/>
    </row>
    <row r="175" customFormat="false" ht="15" hidden="false" customHeight="false" outlineLevel="0" collapsed="false">
      <c r="A175" s="3" t="s">
        <v>321</v>
      </c>
      <c r="B175" s="3" t="s">
        <v>62</v>
      </c>
      <c r="C175" s="38" t="n">
        <f aca="false">0</f>
        <v>0</v>
      </c>
      <c r="D175" s="38" t="n">
        <f aca="false">0</f>
        <v>0</v>
      </c>
      <c r="E175" s="60" t="n">
        <f aca="false">E170*(Assumptions!$C$87*Assumptions!$C$74+(1-Assumptions!$C$87)*(Assumptions!$C$90+Assumptions!$C$91))</f>
        <v>0</v>
      </c>
      <c r="F175" s="60" t="n">
        <f aca="false">F170*(Assumptions!$C$87*Assumptions!$C$74+(1-Assumptions!$C$87)*(Assumptions!$C$90+Assumptions!$C$91))</f>
        <v>0</v>
      </c>
      <c r="G175" s="60" t="n">
        <f aca="false">G170*(Assumptions!$C$87*Assumptions!$C$74+(1-Assumptions!$C$87)*(Assumptions!$C$90+Assumptions!$C$91))</f>
        <v>0</v>
      </c>
      <c r="H175" s="3"/>
    </row>
    <row r="176" customFormat="false" ht="15" hidden="false" customHeight="false" outlineLevel="0" collapsed="false">
      <c r="A176" s="9" t="s">
        <v>528</v>
      </c>
      <c r="B176" s="3" t="s">
        <v>62</v>
      </c>
      <c r="C176" s="29" t="n">
        <f aca="false">C170-C171-C172-C173-C174-C175</f>
        <v>0</v>
      </c>
      <c r="D176" s="29" t="n">
        <f aca="false">D170-D171-D172-D173-D174-D175</f>
        <v>0</v>
      </c>
      <c r="E176" s="29" t="n">
        <f aca="false">E170-E171-E172-E173-E174-E175</f>
        <v>0</v>
      </c>
      <c r="F176" s="29" t="n">
        <f aca="false">F170-F171-F172-F173-F174-F175</f>
        <v>0</v>
      </c>
      <c r="G176" s="29" t="n">
        <f aca="false">G170-G171-G172-G173-G174-G175</f>
        <v>0</v>
      </c>
      <c r="H176" s="3"/>
    </row>
    <row r="178" customFormat="false" ht="15" hidden="false" customHeight="false" outlineLevel="0" collapsed="false">
      <c r="A178" s="9" t="s">
        <v>534</v>
      </c>
    </row>
    <row r="179" customFormat="false" ht="15" hidden="false" customHeight="false" outlineLevel="0" collapsed="false">
      <c r="A179" s="9" t="s">
        <v>495</v>
      </c>
      <c r="B179" s="3" t="s">
        <v>62</v>
      </c>
      <c r="C179" s="29" t="n">
        <f aca="false">C125+C134+C143+C152+C161+C170</f>
        <v>268356</v>
      </c>
      <c r="D179" s="29" t="n">
        <f aca="false">D125+D134+D143+D152+D161+D170</f>
        <v>641824.56</v>
      </c>
      <c r="E179" s="29" t="n">
        <f aca="false">E125+E134+E143+E152+E161+E170</f>
        <v>737766.73536</v>
      </c>
      <c r="F179" s="29" t="n">
        <f aca="false">F125+F134+F143+F152+F161+F170</f>
        <v>762708.551221248</v>
      </c>
      <c r="G179" s="29" t="n">
        <f aca="false">G125+G134+G143+G152+G161+G170</f>
        <v>768330.219631018</v>
      </c>
      <c r="H179" s="3"/>
    </row>
    <row r="180" customFormat="false" ht="15" hidden="false" customHeight="false" outlineLevel="0" collapsed="false">
      <c r="A180" s="3" t="s">
        <v>456</v>
      </c>
      <c r="B180" s="3" t="s">
        <v>62</v>
      </c>
      <c r="C180" s="38" t="n">
        <f aca="false">C126+C135+C144+C153+C162+C171</f>
        <v>115393.08</v>
      </c>
      <c r="D180" s="38" t="n">
        <f aca="false">D126+D135+D144+D153+D162+D171</f>
        <v>275984.5608</v>
      </c>
      <c r="E180" s="38" t="n">
        <f aca="false">E126+E135+E144+E153+E162+E171</f>
        <v>334439.6962048</v>
      </c>
      <c r="F180" s="38" t="n">
        <f aca="false">F126+F135+F144+F153+F162+F171</f>
        <v>345164.677025137</v>
      </c>
      <c r="G180" s="38" t="n">
        <f aca="false">G126+G135+G144+G153+G162+G171</f>
        <v>347581.994441338</v>
      </c>
      <c r="H180" s="3"/>
    </row>
    <row r="181" customFormat="false" ht="15" hidden="false" customHeight="false" outlineLevel="0" collapsed="false">
      <c r="A181" s="3" t="s">
        <v>535</v>
      </c>
      <c r="B181" s="3" t="s">
        <v>62</v>
      </c>
      <c r="C181" s="38" t="n">
        <f aca="false">C127+C136+C145+C154+C163+C172</f>
        <v>40253.4</v>
      </c>
      <c r="D181" s="38" t="n">
        <f aca="false">D127+D136+D145+D154+D163+D172</f>
        <v>95322.8328</v>
      </c>
      <c r="E181" s="38" t="n">
        <f aca="false">E127+E136+E145+E154+E163+E172</f>
        <v>103660.9114368</v>
      </c>
      <c r="F181" s="38" t="n">
        <f aca="false">F127+F136+F145+F154+F163+F172</f>
        <v>107365.232977674</v>
      </c>
      <c r="G181" s="38" t="n">
        <f aca="false">G127+G136+G145+G154+G163+G172</f>
        <v>108200.154841496</v>
      </c>
      <c r="H181" s="3"/>
    </row>
    <row r="182" customFormat="false" ht="15" hidden="false" customHeight="false" outlineLevel="0" collapsed="false">
      <c r="A182" s="3" t="s">
        <v>536</v>
      </c>
      <c r="B182" s="3" t="s">
        <v>62</v>
      </c>
      <c r="C182" s="38" t="n">
        <f aca="false">C128+C137+C146+C155+C164+C173</f>
        <v>38841</v>
      </c>
      <c r="D182" s="38" t="n">
        <f aca="false">D128+D137+D146+D155+D164+D173</f>
        <v>95143.215</v>
      </c>
      <c r="E182" s="38" t="n">
        <f aca="false">E128+E137+E146+E155+E164+E173</f>
        <v>120288.481635702</v>
      </c>
      <c r="F182" s="38" t="n">
        <f aca="false">F128+F137+F146+F155+F164+F173</f>
        <v>132743.487717033</v>
      </c>
      <c r="G182" s="38" t="n">
        <f aca="false">G128+G137+G146+G155+G164+G173</f>
        <v>142802.788069386</v>
      </c>
      <c r="H182" s="3"/>
    </row>
    <row r="183" customFormat="false" ht="15" hidden="false" customHeight="false" outlineLevel="0" collapsed="false">
      <c r="A183" s="3" t="s">
        <v>527</v>
      </c>
      <c r="B183" s="3" t="s">
        <v>62</v>
      </c>
      <c r="C183" s="38" t="n">
        <f aca="false">C129+C138+C147+C156+C165+C174</f>
        <v>64747.44</v>
      </c>
      <c r="D183" s="38" t="n">
        <f aca="false">D129+D138+D147+D156+D165+D174</f>
        <v>109347.888</v>
      </c>
      <c r="E183" s="38" t="n">
        <f aca="false">E129+E138+E147+E156+E165+E174</f>
        <v>85893.280128</v>
      </c>
      <c r="F183" s="38" t="n">
        <f aca="false">F129+F138+F147+F156+F165+F174</f>
        <v>92241.1931664384</v>
      </c>
      <c r="G183" s="38" t="n">
        <f aca="false">G129+G138+G147+G156+G165+G174</f>
        <v>112640.562145965</v>
      </c>
      <c r="H183" s="3"/>
    </row>
    <row r="184" customFormat="false" ht="15" hidden="false" customHeight="false" outlineLevel="0" collapsed="false">
      <c r="A184" s="3" t="s">
        <v>321</v>
      </c>
      <c r="B184" s="3" t="s">
        <v>62</v>
      </c>
      <c r="C184" s="38" t="n">
        <f aca="false">C130+C139+C148+C157+C166+C175</f>
        <v>16101.36</v>
      </c>
      <c r="D184" s="38" t="n">
        <f aca="false">D130+D139+D148+D157+D166+D175</f>
        <v>37083.1968</v>
      </c>
      <c r="E184" s="38" t="n">
        <f aca="false">E130+E139+E148+E157+E166+E175</f>
        <v>40359.8558208</v>
      </c>
      <c r="F184" s="38" t="n">
        <f aca="false">F130+F139+F148+F157+F166+F175</f>
        <v>41800.9385150054</v>
      </c>
      <c r="G184" s="38" t="n">
        <f aca="false">G130+G139+G148+G157+G166+G175</f>
        <v>42125.7460231255</v>
      </c>
      <c r="H184" s="3"/>
    </row>
    <row r="185" customFormat="false" ht="15" hidden="false" customHeight="false" outlineLevel="0" collapsed="false">
      <c r="A185" s="9" t="s">
        <v>537</v>
      </c>
      <c r="B185" s="3" t="s">
        <v>62</v>
      </c>
      <c r="C185" s="29" t="n">
        <f aca="false">C131+C140+C149+C158+C167+C176</f>
        <v>-6980.28000000001</v>
      </c>
      <c r="D185" s="29" t="n">
        <f aca="false">D131+D140+D149+D158+D167+D176</f>
        <v>28942.8666</v>
      </c>
      <c r="E185" s="29" t="n">
        <f aca="false">E131+E140+E149+E158+E167+E176</f>
        <v>53124.5101338982</v>
      </c>
      <c r="F185" s="29" t="n">
        <f aca="false">F131+F140+F149+F158+F167+F176</f>
        <v>43393.0218199603</v>
      </c>
      <c r="G185" s="29" t="n">
        <f aca="false">G131+G140+G149+G158+G167+G176</f>
        <v>14978.974109708</v>
      </c>
      <c r="H185" s="3"/>
    </row>
    <row r="186" customFormat="false" ht="15" hidden="false" customHeight="false" outlineLevel="0" collapsed="false">
      <c r="A186" s="3" t="s">
        <v>538</v>
      </c>
      <c r="B186" s="3" t="s">
        <v>62</v>
      </c>
      <c r="C186" s="38" t="n">
        <f aca="false">AB59</f>
        <v>10200</v>
      </c>
      <c r="D186" s="38" t="n">
        <f aca="false">AC59</f>
        <v>12300</v>
      </c>
      <c r="E186" s="60" t="n">
        <f aca="false">Assumptions!$C$46*12</f>
        <v>14400</v>
      </c>
      <c r="F186" s="60" t="n">
        <f aca="false">Assumptions!$C$47*12</f>
        <v>14400</v>
      </c>
      <c r="G186" s="60" t="n">
        <f aca="false">Assumptions!$C$48*12</f>
        <v>14400</v>
      </c>
      <c r="H186" s="3" t="s">
        <v>539</v>
      </c>
    </row>
    <row r="187" customFormat="false" ht="15" hidden="false" customHeight="false" outlineLevel="0" collapsed="false">
      <c r="A187" s="3" t="s">
        <v>462</v>
      </c>
      <c r="B187" s="3" t="s">
        <v>62</v>
      </c>
      <c r="C187" s="38" t="n">
        <f aca="false">AB60</f>
        <v>479.88</v>
      </c>
      <c r="D187" s="38" t="n">
        <f aca="false">AC60</f>
        <v>479.88</v>
      </c>
      <c r="E187" s="60" t="n">
        <f aca="false">Assumptions!$C$22*12</f>
        <v>479.88</v>
      </c>
      <c r="F187" s="60" t="n">
        <f aca="false">Assumptions!$C$22*12</f>
        <v>479.88</v>
      </c>
      <c r="G187" s="60" t="n">
        <f aca="false">Assumptions!$C$22*12</f>
        <v>479.88</v>
      </c>
      <c r="H187" s="3"/>
    </row>
    <row r="188" customFormat="false" ht="15" hidden="false" customHeight="false" outlineLevel="0" collapsed="false">
      <c r="A188" s="3" t="s">
        <v>463</v>
      </c>
      <c r="B188" s="3" t="s">
        <v>62</v>
      </c>
      <c r="C188" s="38" t="n">
        <f aca="false">AB61</f>
        <v>9500</v>
      </c>
      <c r="D188" s="38" t="n">
        <f aca="false">AC61</f>
        <v>0</v>
      </c>
      <c r="E188" s="38" t="n">
        <f aca="false">0</f>
        <v>0</v>
      </c>
      <c r="F188" s="38" t="n">
        <f aca="false">0</f>
        <v>0</v>
      </c>
      <c r="G188" s="38" t="n">
        <f aca="false">0</f>
        <v>0</v>
      </c>
      <c r="H188" s="3"/>
    </row>
    <row r="189" customFormat="false" ht="15" hidden="false" customHeight="false" outlineLevel="0" collapsed="false">
      <c r="A189" s="3" t="s">
        <v>540</v>
      </c>
      <c r="B189" s="3" t="s">
        <v>62</v>
      </c>
      <c r="C189" s="38" t="n">
        <f aca="false">AB62</f>
        <v>0</v>
      </c>
      <c r="D189" s="38" t="n">
        <f aca="false">AC62</f>
        <v>2560</v>
      </c>
      <c r="E189" s="60" t="n">
        <f aca="false">Assumptions!$C$94+Assumptions!$C$95+Assumptions!$C$96+Assumptions!$C$97+IF(3=5,Assumptions!$C$98,0)</f>
        <v>2560</v>
      </c>
      <c r="F189" s="60" t="n">
        <f aca="false">Assumptions!$C$94+Assumptions!$C$95+Assumptions!$C$96+Assumptions!$C$97+IF(4=5,Assumptions!$C$98,0)</f>
        <v>2560</v>
      </c>
      <c r="G189" s="60" t="n">
        <f aca="false">Assumptions!$C$94+Assumptions!$C$95+Assumptions!$C$96+Assumptions!$C$97+IF(5=5,Assumptions!$C$98,0)</f>
        <v>2560</v>
      </c>
      <c r="H189" s="3" t="s">
        <v>541</v>
      </c>
    </row>
    <row r="190" customFormat="false" ht="15" hidden="false" customHeight="false" outlineLevel="0" collapsed="false">
      <c r="A190" s="9" t="s">
        <v>542</v>
      </c>
      <c r="B190" s="3" t="s">
        <v>62</v>
      </c>
      <c r="C190" s="29" t="n">
        <f aca="false">C185-C186-C187-C188-C189</f>
        <v>-27160.16</v>
      </c>
      <c r="D190" s="29" t="n">
        <f aca="false">D185-D186-D187-D188-D189</f>
        <v>13602.9866</v>
      </c>
      <c r="E190" s="29" t="n">
        <f aca="false">E185-E186-E187-E188-E189</f>
        <v>35684.6301338982</v>
      </c>
      <c r="F190" s="29" t="n">
        <f aca="false">F185-F186-F187-F188-F189</f>
        <v>25953.1418199603</v>
      </c>
      <c r="G190" s="29" t="n">
        <f aca="false">G185-G186-G187-G188-G189</f>
        <v>-2460.90589029198</v>
      </c>
      <c r="H190" s="3"/>
    </row>
    <row r="191" customFormat="false" ht="15" hidden="false" customHeight="false" outlineLevel="0" collapsed="false">
      <c r="A191" s="9" t="s">
        <v>467</v>
      </c>
      <c r="B191" s="3" t="s">
        <v>66</v>
      </c>
      <c r="C191" s="19" t="n">
        <f aca="false">IF(C179=0,0,C190/C179)</f>
        <v>-0.101209438208946</v>
      </c>
      <c r="D191" s="19" t="n">
        <f aca="false">IF(D179=0,0,D190/D179)</f>
        <v>0.0211942444209365</v>
      </c>
      <c r="E191" s="19" t="n">
        <f aca="false">IF(E179=0,0,E190/E179)</f>
        <v>0.0483684455039648</v>
      </c>
      <c r="F191" s="19" t="n">
        <f aca="false">IF(F179=0,0,F190/F179)</f>
        <v>0.0340276004227357</v>
      </c>
      <c r="G191" s="19" t="n">
        <f aca="false">IF(G179=0,0,G190/G179)</f>
        <v>-0.00320292737082996</v>
      </c>
      <c r="H191" s="3"/>
    </row>
    <row r="192" customFormat="false" ht="15" hidden="false" customHeight="false" outlineLevel="0" collapsed="false">
      <c r="A192" s="3" t="s">
        <v>543</v>
      </c>
      <c r="B192" s="3" t="s">
        <v>62</v>
      </c>
      <c r="C192" s="38" t="n">
        <f aca="false">C190</f>
        <v>-27160.16</v>
      </c>
      <c r="D192" s="38" t="n">
        <f aca="false">C192+D190</f>
        <v>-13557.1734</v>
      </c>
      <c r="E192" s="38" t="n">
        <f aca="false">D192+E190</f>
        <v>22127.4567338982</v>
      </c>
      <c r="F192" s="38" t="n">
        <f aca="false">E192+F190</f>
        <v>48080.5985538585</v>
      </c>
      <c r="G192" s="38" t="n">
        <f aca="false">F192+G190</f>
        <v>45619.6926635665</v>
      </c>
      <c r="H192" s="3"/>
    </row>
    <row r="193" customFormat="false" ht="15" hidden="false" customHeight="false" outlineLevel="0" collapsed="false">
      <c r="A193" s="3" t="s">
        <v>544</v>
      </c>
      <c r="B193" s="3" t="s">
        <v>66</v>
      </c>
      <c r="C193" s="34" t="n">
        <f aca="false">IF(C125=0,0,C131/C125)</f>
        <v>-0.0260112686133346</v>
      </c>
      <c r="D193" s="34" t="n">
        <f aca="false">IF(D125=0,0,D131/D125)</f>
        <v>0.0335864539057216</v>
      </c>
      <c r="E193" s="34" t="n">
        <f aca="false">IF(E125=0,0,E131/E125)</f>
        <v>0.0700507127192982</v>
      </c>
      <c r="F193" s="34" t="n">
        <f aca="false">IF(F125=0,0,F131/F125)</f>
        <v>0.0533877438550804</v>
      </c>
      <c r="G193" s="34" t="n">
        <f aca="false">IF(G125=0,0,G131/G125)</f>
        <v>0.0108743501778467</v>
      </c>
      <c r="H193" s="3"/>
    </row>
    <row r="195" customFormat="false" ht="15" hidden="false" customHeight="false" outlineLevel="0" collapsed="false">
      <c r="A195" s="9" t="s">
        <v>545</v>
      </c>
    </row>
    <row r="196" customFormat="false" ht="15" hidden="false" customHeight="false" outlineLevel="0" collapsed="false">
      <c r="A196" s="3" t="s">
        <v>546</v>
      </c>
      <c r="C196" s="38" t="n">
        <f aca="false">C179-AB96</f>
        <v>0</v>
      </c>
      <c r="D196" s="38" t="n">
        <f aca="false">D179-AC96</f>
        <v>0</v>
      </c>
    </row>
    <row r="197" customFormat="false" ht="15" hidden="false" customHeight="false" outlineLevel="0" collapsed="false">
      <c r="A197" s="3" t="s">
        <v>547</v>
      </c>
      <c r="C197" s="38" t="n">
        <f aca="false">C190-AB97</f>
        <v>0</v>
      </c>
      <c r="D197" s="38" t="n">
        <f aca="false">D190-AC97</f>
        <v>0</v>
      </c>
    </row>
    <row r="199" customFormat="false" ht="15" hidden="false" customHeight="false" outlineLevel="0" collapsed="false">
      <c r="A199" s="5" t="s">
        <v>854</v>
      </c>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row>
    <row r="200" customFormat="false" ht="39.75" hidden="false" customHeight="true" outlineLevel="0" collapsed="false">
      <c r="A200" s="14" t="s">
        <v>444</v>
      </c>
      <c r="B200" s="14" t="s">
        <v>53</v>
      </c>
      <c r="C200" s="14" t="s">
        <v>445</v>
      </c>
      <c r="D200" s="14" t="s">
        <v>232</v>
      </c>
      <c r="E200" s="14" t="s">
        <v>234</v>
      </c>
      <c r="F200" s="14" t="s">
        <v>235</v>
      </c>
      <c r="G200" s="14" t="s">
        <v>236</v>
      </c>
      <c r="H200" s="14" t="s">
        <v>237</v>
      </c>
      <c r="I200" s="14" t="s">
        <v>238</v>
      </c>
      <c r="J200" s="14" t="s">
        <v>239</v>
      </c>
      <c r="K200" s="14" t="s">
        <v>240</v>
      </c>
      <c r="L200" s="14" t="s">
        <v>241</v>
      </c>
      <c r="M200" s="14" t="s">
        <v>242</v>
      </c>
      <c r="N200" s="14" t="s">
        <v>243</v>
      </c>
      <c r="O200" s="14" t="s">
        <v>244</v>
      </c>
      <c r="P200" s="14" t="s">
        <v>245</v>
      </c>
      <c r="Q200" s="14" t="s">
        <v>246</v>
      </c>
      <c r="R200" s="14" t="s">
        <v>247</v>
      </c>
      <c r="S200" s="14" t="s">
        <v>248</v>
      </c>
      <c r="T200" s="14" t="s">
        <v>249</v>
      </c>
      <c r="U200" s="14" t="s">
        <v>250</v>
      </c>
      <c r="V200" s="14" t="s">
        <v>251</v>
      </c>
      <c r="W200" s="14" t="s">
        <v>253</v>
      </c>
      <c r="X200" s="14" t="s">
        <v>254</v>
      </c>
      <c r="Y200" s="14" t="s">
        <v>255</v>
      </c>
      <c r="Z200" s="14" t="s">
        <v>256</v>
      </c>
      <c r="AA200" s="14" t="s">
        <v>257</v>
      </c>
      <c r="AB200" s="39" t="s">
        <v>549</v>
      </c>
      <c r="AC200" s="39" t="s">
        <v>550</v>
      </c>
      <c r="AD200" s="39" t="s">
        <v>551</v>
      </c>
      <c r="AE200" s="39" t="s">
        <v>552</v>
      </c>
      <c r="AF200" s="39" t="s">
        <v>553</v>
      </c>
      <c r="AG200" s="39" t="s">
        <v>554</v>
      </c>
    </row>
    <row r="201" customFormat="false" ht="15" hidden="false" customHeight="false" outlineLevel="0" collapsed="false">
      <c r="A201" s="3" t="s">
        <v>448</v>
      </c>
      <c r="C201" s="30" t="n">
        <v>0</v>
      </c>
      <c r="D201" s="30" t="n">
        <v>1</v>
      </c>
      <c r="E201" s="30" t="n">
        <v>2</v>
      </c>
      <c r="F201" s="30" t="n">
        <v>3</v>
      </c>
      <c r="G201" s="30" t="n">
        <v>4</v>
      </c>
      <c r="H201" s="30" t="n">
        <v>5</v>
      </c>
      <c r="I201" s="30" t="n">
        <v>6</v>
      </c>
      <c r="J201" s="30" t="n">
        <v>7</v>
      </c>
      <c r="K201" s="30" t="n">
        <v>8</v>
      </c>
      <c r="L201" s="30" t="n">
        <v>9</v>
      </c>
      <c r="M201" s="30" t="n">
        <v>10</v>
      </c>
      <c r="N201" s="30" t="n">
        <v>11</v>
      </c>
      <c r="O201" s="30" t="n">
        <v>12</v>
      </c>
      <c r="P201" s="30" t="n">
        <v>13</v>
      </c>
      <c r="Q201" s="30" t="n">
        <v>14</v>
      </c>
      <c r="R201" s="30" t="n">
        <v>15</v>
      </c>
      <c r="S201" s="30" t="n">
        <v>16</v>
      </c>
      <c r="T201" s="30" t="n">
        <v>17</v>
      </c>
      <c r="U201" s="30" t="n">
        <v>18</v>
      </c>
      <c r="V201" s="30" t="n">
        <v>19</v>
      </c>
      <c r="W201" s="30" t="n">
        <v>20</v>
      </c>
      <c r="X201" s="30" t="n">
        <v>21</v>
      </c>
      <c r="Y201" s="30" t="n">
        <v>22</v>
      </c>
      <c r="Z201" s="30" t="n">
        <v>23</v>
      </c>
      <c r="AA201" s="30" t="n">
        <v>24</v>
      </c>
      <c r="AB201" s="30" t="n">
        <v>25</v>
      </c>
      <c r="AC201" s="30" t="n">
        <v>26</v>
      </c>
      <c r="AD201" s="30" t="n">
        <v>27</v>
      </c>
      <c r="AE201" s="30" t="n">
        <v>28</v>
      </c>
      <c r="AF201" s="30" t="n">
        <v>29</v>
      </c>
      <c r="AG201" s="30" t="n">
        <v>30</v>
      </c>
    </row>
    <row r="202" customFormat="false" ht="15" hidden="false" customHeight="false" outlineLevel="0" collapsed="false">
      <c r="A202" s="9" t="s">
        <v>555</v>
      </c>
    </row>
    <row r="203" customFormat="false" ht="15" hidden="false" customHeight="false" outlineLevel="0" collapsed="false">
      <c r="A203" s="3" t="s">
        <v>556</v>
      </c>
      <c r="B203" s="3" t="s">
        <v>95</v>
      </c>
      <c r="C203" s="31" t="n">
        <f aca="false">0</f>
        <v>0</v>
      </c>
      <c r="D203" s="31" t="n">
        <f aca="false">D49+D79+D87</f>
        <v>90</v>
      </c>
      <c r="E203" s="31" t="n">
        <f aca="false">E49+E79+E87</f>
        <v>144</v>
      </c>
      <c r="F203" s="31" t="n">
        <f aca="false">F49+F79+F87</f>
        <v>216</v>
      </c>
      <c r="G203" s="31" t="n">
        <f aca="false">G49+G79+G87</f>
        <v>300</v>
      </c>
      <c r="H203" s="31" t="n">
        <f aca="false">H49+H79+H87</f>
        <v>390</v>
      </c>
      <c r="I203" s="31" t="n">
        <f aca="false">I49+I79+I87</f>
        <v>492</v>
      </c>
      <c r="J203" s="31" t="n">
        <f aca="false">J49+J79+J87</f>
        <v>600</v>
      </c>
      <c r="K203" s="31" t="n">
        <f aca="false">K49+K79+K87</f>
        <v>720</v>
      </c>
      <c r="L203" s="31" t="n">
        <f aca="false">L49+L79+L87</f>
        <v>840</v>
      </c>
      <c r="M203" s="31" t="n">
        <f aca="false">M49+M79+M87</f>
        <v>960</v>
      </c>
      <c r="N203" s="31" t="n">
        <f aca="false">N49+N79+N87</f>
        <v>1080</v>
      </c>
      <c r="O203" s="31" t="n">
        <f aca="false">O49+O79+O87</f>
        <v>1230</v>
      </c>
      <c r="P203" s="31" t="n">
        <f aca="false">P49+P79+P87</f>
        <v>1458</v>
      </c>
      <c r="Q203" s="31" t="n">
        <f aca="false">Q49+Q79+Q87</f>
        <v>1587.6</v>
      </c>
      <c r="R203" s="31" t="n">
        <f aca="false">R49+R79+R87</f>
        <v>1684.8</v>
      </c>
      <c r="S203" s="31" t="n">
        <f aca="false">S49+S79+S87</f>
        <v>1782</v>
      </c>
      <c r="T203" s="31" t="n">
        <f aca="false">T49+T79+T87</f>
        <v>1879.2</v>
      </c>
      <c r="U203" s="31" t="n">
        <f aca="false">U49+U79+U87</f>
        <v>1976.4</v>
      </c>
      <c r="V203" s="31" t="n">
        <f aca="false">V49+V79+V87</f>
        <v>197.64</v>
      </c>
      <c r="W203" s="31" t="n">
        <f aca="false">W49+W79+W87</f>
        <v>197.64</v>
      </c>
      <c r="X203" s="31" t="n">
        <f aca="false">X49+X79+X87</f>
        <v>197.64</v>
      </c>
      <c r="Y203" s="31" t="n">
        <f aca="false">Y49+Y79+Y87</f>
        <v>1976.4</v>
      </c>
      <c r="Z203" s="31" t="n">
        <f aca="false">Z49+Z79+Z87</f>
        <v>1976.4</v>
      </c>
      <c r="AA203" s="31" t="n">
        <f aca="false">AA49+AA79+AA87</f>
        <v>1976.4</v>
      </c>
      <c r="AB203" s="62" t="n">
        <f aca="false">$AA203*(1+Assumptions!$C$37)</f>
        <v>2174.04</v>
      </c>
      <c r="AC203" s="62" t="n">
        <f aca="false">$AA203*(1+Assumptions!$C$37)</f>
        <v>2174.04</v>
      </c>
      <c r="AD203" s="62" t="n">
        <f aca="false">$AA203*(1+Assumptions!$C$37)</f>
        <v>2174.04</v>
      </c>
      <c r="AE203" s="62" t="n">
        <f aca="false">$AA203*(1+Assumptions!$C$37)</f>
        <v>2174.04</v>
      </c>
      <c r="AF203" s="62" t="n">
        <f aca="false">$AA203*(1+Assumptions!$C$37)</f>
        <v>2174.04</v>
      </c>
      <c r="AG203" s="62" t="n">
        <f aca="false">$AA203*(1+Assumptions!$C$37)</f>
        <v>2174.04</v>
      </c>
    </row>
    <row r="204" customFormat="false" ht="15" hidden="false" customHeight="false" outlineLevel="0" collapsed="false">
      <c r="A204" s="3" t="s">
        <v>557</v>
      </c>
      <c r="B204" s="3" t="s">
        <v>454</v>
      </c>
      <c r="D204" s="40" t="n">
        <f aca="false">D72*D50</f>
        <v>16.34</v>
      </c>
      <c r="E204" s="40" t="n">
        <f aca="false">E72*E50</f>
        <v>16.34</v>
      </c>
      <c r="F204" s="40" t="n">
        <f aca="false">F72*F50</f>
        <v>16.34</v>
      </c>
      <c r="G204" s="40" t="n">
        <f aca="false">G72*G50</f>
        <v>16.34</v>
      </c>
      <c r="H204" s="40" t="n">
        <f aca="false">H72*H50</f>
        <v>16.34</v>
      </c>
      <c r="I204" s="40" t="n">
        <f aca="false">I72*I50</f>
        <v>16.34</v>
      </c>
      <c r="J204" s="40" t="n">
        <f aca="false">J72*J50</f>
        <v>16.34</v>
      </c>
      <c r="K204" s="40" t="n">
        <f aca="false">K72*K50</f>
        <v>16.34</v>
      </c>
      <c r="L204" s="40" t="n">
        <f aca="false">L72*L50</f>
        <v>16.34</v>
      </c>
      <c r="M204" s="40" t="n">
        <f aca="false">M72*M50</f>
        <v>16.34</v>
      </c>
      <c r="N204" s="40" t="n">
        <f aca="false">N72*N50</f>
        <v>16.34</v>
      </c>
      <c r="O204" s="40" t="n">
        <f aca="false">O72*O50</f>
        <v>16.34</v>
      </c>
      <c r="P204" s="40" t="n">
        <f aca="false">P72*P50</f>
        <v>16.34</v>
      </c>
      <c r="Q204" s="40" t="n">
        <f aca="false">Q72*Q50</f>
        <v>16.34</v>
      </c>
      <c r="R204" s="40" t="n">
        <f aca="false">R72*R50</f>
        <v>16.34</v>
      </c>
      <c r="S204" s="40" t="n">
        <f aca="false">S72*S50</f>
        <v>16.34</v>
      </c>
      <c r="T204" s="40" t="n">
        <f aca="false">T72*T50</f>
        <v>16.34</v>
      </c>
      <c r="U204" s="40" t="n">
        <f aca="false">U72*U50</f>
        <v>16.34</v>
      </c>
      <c r="V204" s="40" t="n">
        <f aca="false">V72*V50</f>
        <v>16.34</v>
      </c>
      <c r="W204" s="40" t="n">
        <f aca="false">W72*W50</f>
        <v>16.34</v>
      </c>
      <c r="X204" s="40" t="n">
        <f aca="false">X72*X50</f>
        <v>16.34</v>
      </c>
      <c r="Y204" s="40" t="n">
        <f aca="false">Y72*Y50</f>
        <v>16.34</v>
      </c>
      <c r="Z204" s="40" t="n">
        <f aca="false">Z72*Z50</f>
        <v>16.34</v>
      </c>
      <c r="AA204" s="40" t="n">
        <f aca="false">AA72*AA50</f>
        <v>16.34</v>
      </c>
      <c r="AB204" s="40" t="n">
        <f aca="false">$AA204</f>
        <v>16.34</v>
      </c>
      <c r="AC204" s="40" t="n">
        <f aca="false">$AA204</f>
        <v>16.34</v>
      </c>
      <c r="AD204" s="40" t="n">
        <f aca="false">$AA204</f>
        <v>16.34</v>
      </c>
      <c r="AE204" s="40" t="n">
        <f aca="false">$AA204</f>
        <v>16.34</v>
      </c>
      <c r="AF204" s="40" t="n">
        <f aca="false">$AA204</f>
        <v>16.34</v>
      </c>
      <c r="AG204" s="40" t="n">
        <f aca="false">$AA204</f>
        <v>16.34</v>
      </c>
    </row>
    <row r="205" customFormat="false" ht="15" hidden="false" customHeight="false" outlineLevel="0" collapsed="false">
      <c r="A205" s="3" t="s">
        <v>558</v>
      </c>
      <c r="B205" s="3" t="s">
        <v>454</v>
      </c>
      <c r="D205" s="40" t="n">
        <f aca="false">HeroFobUsd</f>
        <v>7.3793006993007</v>
      </c>
      <c r="E205" s="40" t="n">
        <f aca="false">HeroFobUsd</f>
        <v>7.3793006993007</v>
      </c>
      <c r="F205" s="40" t="n">
        <f aca="false">HeroFobUsd</f>
        <v>7.3793006993007</v>
      </c>
      <c r="G205" s="40" t="n">
        <f aca="false">HeroFobUsd</f>
        <v>7.3793006993007</v>
      </c>
      <c r="H205" s="40" t="n">
        <f aca="false">HeroFobUsd</f>
        <v>7.3793006993007</v>
      </c>
      <c r="I205" s="40" t="n">
        <f aca="false">HeroFobUsd</f>
        <v>7.3793006993007</v>
      </c>
      <c r="J205" s="40" t="n">
        <f aca="false">HeroFobUsd</f>
        <v>7.3793006993007</v>
      </c>
      <c r="K205" s="40" t="n">
        <f aca="false">HeroFobUsd</f>
        <v>7.3793006993007</v>
      </c>
      <c r="L205" s="40" t="n">
        <f aca="false">HeroFobUsd</f>
        <v>7.3793006993007</v>
      </c>
      <c r="M205" s="40" t="n">
        <f aca="false">HeroFobUsd</f>
        <v>7.3793006993007</v>
      </c>
      <c r="N205" s="40" t="n">
        <f aca="false">HeroFobUsd</f>
        <v>7.3793006993007</v>
      </c>
      <c r="O205" s="40" t="n">
        <f aca="false">HeroFobUsd</f>
        <v>7.3793006993007</v>
      </c>
      <c r="P205" s="40" t="n">
        <f aca="false">HeroFobUsd</f>
        <v>7.3793006993007</v>
      </c>
      <c r="Q205" s="40" t="n">
        <f aca="false">HeroFobUsd</f>
        <v>7.3793006993007</v>
      </c>
      <c r="R205" s="40" t="n">
        <f aca="false">HeroFobUsd</f>
        <v>7.3793006993007</v>
      </c>
      <c r="S205" s="40" t="n">
        <f aca="false">HeroFobUsd</f>
        <v>7.3793006993007</v>
      </c>
      <c r="T205" s="40" t="n">
        <f aca="false">HeroFobUsd</f>
        <v>7.3793006993007</v>
      </c>
      <c r="U205" s="40" t="n">
        <f aca="false">HeroFobUsd</f>
        <v>7.3793006993007</v>
      </c>
      <c r="V205" s="40" t="n">
        <f aca="false">HeroFobUsd</f>
        <v>7.3793006993007</v>
      </c>
      <c r="W205" s="40" t="n">
        <f aca="false">HeroFobUsd</f>
        <v>7.3793006993007</v>
      </c>
      <c r="X205" s="40" t="n">
        <f aca="false">HeroFobUsd</f>
        <v>7.3793006993007</v>
      </c>
      <c r="Y205" s="40" t="n">
        <f aca="false">HeroFobUsd</f>
        <v>7.3793006993007</v>
      </c>
      <c r="Z205" s="40" t="n">
        <f aca="false">HeroFobUsd</f>
        <v>7.3793006993007</v>
      </c>
      <c r="AA205" s="40" t="n">
        <f aca="false">HeroFobUsd</f>
        <v>7.3793006993007</v>
      </c>
      <c r="AB205" s="40" t="n">
        <f aca="false">HeroFobUsd</f>
        <v>7.3793006993007</v>
      </c>
      <c r="AC205" s="40" t="n">
        <f aca="false">HeroFobUsd</f>
        <v>7.3793006993007</v>
      </c>
      <c r="AD205" s="40" t="n">
        <f aca="false">HeroFobUsd</f>
        <v>7.3793006993007</v>
      </c>
      <c r="AE205" s="40" t="n">
        <f aca="false">HeroFobUsd</f>
        <v>7.3793006993007</v>
      </c>
      <c r="AF205" s="40" t="n">
        <f aca="false">HeroFobUsd</f>
        <v>7.3793006993007</v>
      </c>
      <c r="AG205" s="40" t="n">
        <f aca="false">HeroFobUsd</f>
        <v>7.3793006993007</v>
      </c>
    </row>
    <row r="206" customFormat="false" ht="15" hidden="false" customHeight="false" outlineLevel="0" collapsed="false">
      <c r="A206" s="3" t="s">
        <v>559</v>
      </c>
      <c r="B206" s="3" t="s">
        <v>454</v>
      </c>
      <c r="D206" s="40" t="n">
        <f aca="false">D204-D205</f>
        <v>8.9606993006993</v>
      </c>
      <c r="E206" s="40" t="n">
        <f aca="false">E204-E205</f>
        <v>8.9606993006993</v>
      </c>
      <c r="F206" s="40" t="n">
        <f aca="false">F204-F205</f>
        <v>8.9606993006993</v>
      </c>
      <c r="G206" s="40" t="n">
        <f aca="false">G204-G205</f>
        <v>8.9606993006993</v>
      </c>
      <c r="H206" s="40" t="n">
        <f aca="false">H204-H205</f>
        <v>8.9606993006993</v>
      </c>
      <c r="I206" s="40" t="n">
        <f aca="false">I204-I205</f>
        <v>8.9606993006993</v>
      </c>
      <c r="J206" s="40" t="n">
        <f aca="false">J204-J205</f>
        <v>8.9606993006993</v>
      </c>
      <c r="K206" s="40" t="n">
        <f aca="false">K204-K205</f>
        <v>8.9606993006993</v>
      </c>
      <c r="L206" s="40" t="n">
        <f aca="false">L204-L205</f>
        <v>8.9606993006993</v>
      </c>
      <c r="M206" s="40" t="n">
        <f aca="false">M204-M205</f>
        <v>8.9606993006993</v>
      </c>
      <c r="N206" s="40" t="n">
        <f aca="false">N204-N205</f>
        <v>8.9606993006993</v>
      </c>
      <c r="O206" s="40" t="n">
        <f aca="false">O204-O205</f>
        <v>8.9606993006993</v>
      </c>
      <c r="P206" s="40" t="n">
        <f aca="false">P204-P205</f>
        <v>8.9606993006993</v>
      </c>
      <c r="Q206" s="40" t="n">
        <f aca="false">Q204-Q205</f>
        <v>8.9606993006993</v>
      </c>
      <c r="R206" s="40" t="n">
        <f aca="false">R204-R205</f>
        <v>8.9606993006993</v>
      </c>
      <c r="S206" s="40" t="n">
        <f aca="false">S204-S205</f>
        <v>8.9606993006993</v>
      </c>
      <c r="T206" s="40" t="n">
        <f aca="false">T204-T205</f>
        <v>8.9606993006993</v>
      </c>
      <c r="U206" s="40" t="n">
        <f aca="false">U204-U205</f>
        <v>8.9606993006993</v>
      </c>
      <c r="V206" s="40" t="n">
        <f aca="false">V204-V205</f>
        <v>8.9606993006993</v>
      </c>
      <c r="W206" s="40" t="n">
        <f aca="false">W204-W205</f>
        <v>8.9606993006993</v>
      </c>
      <c r="X206" s="40" t="n">
        <f aca="false">X204-X205</f>
        <v>8.9606993006993</v>
      </c>
      <c r="Y206" s="40" t="n">
        <f aca="false">Y204-Y205</f>
        <v>8.9606993006993</v>
      </c>
      <c r="Z206" s="40" t="n">
        <f aca="false">Z204-Z205</f>
        <v>8.9606993006993</v>
      </c>
      <c r="AA206" s="40" t="n">
        <f aca="false">AA204-AA205</f>
        <v>8.9606993006993</v>
      </c>
      <c r="AB206" s="40" t="n">
        <f aca="false">AB204-AB205</f>
        <v>8.9606993006993</v>
      </c>
      <c r="AC206" s="40" t="n">
        <f aca="false">AC204-AC205</f>
        <v>8.9606993006993</v>
      </c>
      <c r="AD206" s="40" t="n">
        <f aca="false">AD204-AD205</f>
        <v>8.9606993006993</v>
      </c>
      <c r="AE206" s="40" t="n">
        <f aca="false">AE204-AE205</f>
        <v>8.9606993006993</v>
      </c>
      <c r="AF206" s="40" t="n">
        <f aca="false">AF204-AF205</f>
        <v>8.9606993006993</v>
      </c>
      <c r="AG206" s="40" t="n">
        <f aca="false">AG204-AG205</f>
        <v>8.9606993006993</v>
      </c>
    </row>
    <row r="207" customFormat="false" ht="15" hidden="false" customHeight="false" outlineLevel="0" collapsed="false">
      <c r="A207" s="3" t="s">
        <v>560</v>
      </c>
      <c r="B207" s="3" t="s">
        <v>95</v>
      </c>
      <c r="D207" s="62" t="n">
        <f aca="false">Assumptions!$C$101*AVERAGE(E203:G203)</f>
        <v>660</v>
      </c>
      <c r="E207" s="62" t="n">
        <f aca="false">Assumptions!$C$101*AVERAGE(F203:H203)</f>
        <v>906</v>
      </c>
      <c r="F207" s="62" t="n">
        <f aca="false">Assumptions!$C$101*AVERAGE(G203:I203)</f>
        <v>1182</v>
      </c>
      <c r="G207" s="62" t="n">
        <f aca="false">Assumptions!$C$101*AVERAGE(H203:J203)</f>
        <v>1482</v>
      </c>
      <c r="H207" s="62" t="n">
        <f aca="false">Assumptions!$C$101*AVERAGE(I203:K203)</f>
        <v>1812</v>
      </c>
      <c r="I207" s="62" t="n">
        <f aca="false">Assumptions!$C$101*AVERAGE(J203:L203)</f>
        <v>2160</v>
      </c>
      <c r="J207" s="62" t="n">
        <f aca="false">Assumptions!$C$101*AVERAGE(K203:M203)</f>
        <v>2520</v>
      </c>
      <c r="K207" s="62" t="n">
        <f aca="false">Assumptions!$C$101*AVERAGE(L203:N203)</f>
        <v>2880</v>
      </c>
      <c r="L207" s="62" t="n">
        <f aca="false">Assumptions!$C$101*AVERAGE(M203:O203)</f>
        <v>3270</v>
      </c>
      <c r="M207" s="62" t="n">
        <f aca="false">Assumptions!$C$101*AVERAGE(N203:P203)</f>
        <v>3768</v>
      </c>
      <c r="N207" s="62" t="n">
        <f aca="false">Assumptions!$C$101*AVERAGE(O203:Q203)</f>
        <v>4275.6</v>
      </c>
      <c r="O207" s="62" t="n">
        <f aca="false">Assumptions!$C$101*AVERAGE(P203:R203)</f>
        <v>4730.4</v>
      </c>
      <c r="P207" s="62" t="n">
        <f aca="false">Assumptions!$C$101*AVERAGE(Q203:S203)</f>
        <v>5054.4</v>
      </c>
      <c r="Q207" s="62" t="n">
        <f aca="false">Assumptions!$C$101*AVERAGE(R203:T203)</f>
        <v>5346</v>
      </c>
      <c r="R207" s="62" t="n">
        <f aca="false">Assumptions!$C$101*AVERAGE(S203:U203)</f>
        <v>5637.6</v>
      </c>
      <c r="S207" s="62" t="n">
        <f aca="false">Assumptions!$C$101*AVERAGE(T203:V203)</f>
        <v>4053.24</v>
      </c>
      <c r="T207" s="62" t="n">
        <f aca="false">Assumptions!$C$101*AVERAGE(U203:W203)</f>
        <v>2371.68</v>
      </c>
      <c r="U207" s="62" t="n">
        <f aca="false">Assumptions!$C$101*AVERAGE(V203:X203)</f>
        <v>592.92</v>
      </c>
      <c r="V207" s="62" t="n">
        <f aca="false">Assumptions!$C$101*AVERAGE(W203:Y203)</f>
        <v>2371.68</v>
      </c>
      <c r="W207" s="62" t="n">
        <f aca="false">Assumptions!$C$101*AVERAGE(X203:Z203)</f>
        <v>4150.44</v>
      </c>
      <c r="X207" s="62" t="n">
        <f aca="false">Assumptions!$C$101*AVERAGE(Y203:AA203)</f>
        <v>5929.2</v>
      </c>
      <c r="Y207" s="62" t="n">
        <f aca="false">Assumptions!$C$101*AVERAGE(Z203:AB203)</f>
        <v>6126.84</v>
      </c>
      <c r="Z207" s="62" t="n">
        <f aca="false">Assumptions!$C$101*AVERAGE(AA203:AC203)</f>
        <v>6324.48</v>
      </c>
      <c r="AA207" s="62" t="n">
        <f aca="false">Assumptions!$C$101*AVERAGE(AB203:AD203)</f>
        <v>6522.12</v>
      </c>
      <c r="AB207" s="62" t="n">
        <f aca="false">Assumptions!$C$101*AVERAGE(AC203:AE203)</f>
        <v>6522.12</v>
      </c>
      <c r="AC207" s="62" t="n">
        <f aca="false">Assumptions!$C$101*AVERAGE(AD203:AF203)</f>
        <v>6522.12</v>
      </c>
    </row>
    <row r="208" customFormat="false" ht="15" hidden="false" customHeight="false" outlineLevel="0" collapsed="false">
      <c r="A208" s="3" t="s">
        <v>561</v>
      </c>
      <c r="B208" s="3" t="s">
        <v>95</v>
      </c>
      <c r="D208" s="31" t="n">
        <f aca="false">0</f>
        <v>0</v>
      </c>
      <c r="E208" s="31" t="n">
        <f aca="false">D210</f>
        <v>660</v>
      </c>
      <c r="F208" s="31" t="n">
        <f aca="false">E210</f>
        <v>906</v>
      </c>
      <c r="G208" s="31" t="n">
        <f aca="false">F210</f>
        <v>1182</v>
      </c>
      <c r="H208" s="31" t="n">
        <f aca="false">G210</f>
        <v>1482</v>
      </c>
      <c r="I208" s="31" t="n">
        <f aca="false">H210</f>
        <v>1812</v>
      </c>
      <c r="J208" s="31" t="n">
        <f aca="false">I210</f>
        <v>2160</v>
      </c>
      <c r="K208" s="31" t="n">
        <f aca="false">J210</f>
        <v>2520</v>
      </c>
      <c r="L208" s="31" t="n">
        <f aca="false">K210</f>
        <v>2880</v>
      </c>
      <c r="M208" s="31" t="n">
        <f aca="false">L210</f>
        <v>3270</v>
      </c>
      <c r="N208" s="31" t="n">
        <f aca="false">M210</f>
        <v>3768</v>
      </c>
      <c r="O208" s="31" t="n">
        <f aca="false">N210</f>
        <v>4275.6</v>
      </c>
      <c r="P208" s="31" t="n">
        <f aca="false">O210</f>
        <v>4730.4</v>
      </c>
      <c r="Q208" s="31" t="n">
        <f aca="false">P210</f>
        <v>5054.4</v>
      </c>
      <c r="R208" s="31" t="n">
        <f aca="false">Q210</f>
        <v>5346</v>
      </c>
      <c r="S208" s="31" t="n">
        <f aca="false">R210</f>
        <v>5637.6</v>
      </c>
      <c r="T208" s="31" t="n">
        <f aca="false">S210</f>
        <v>4053.24</v>
      </c>
      <c r="U208" s="31" t="n">
        <f aca="false">T210</f>
        <v>2371.68</v>
      </c>
      <c r="V208" s="31" t="n">
        <f aca="false">U210</f>
        <v>592.92</v>
      </c>
      <c r="W208" s="31" t="n">
        <f aca="false">V210</f>
        <v>2371.68</v>
      </c>
      <c r="X208" s="31" t="n">
        <f aca="false">W210</f>
        <v>4150.44</v>
      </c>
      <c r="Y208" s="31" t="n">
        <f aca="false">X210</f>
        <v>5929.2</v>
      </c>
      <c r="Z208" s="31" t="n">
        <f aca="false">Y210</f>
        <v>6126.84</v>
      </c>
      <c r="AA208" s="31" t="n">
        <f aca="false">Z210</f>
        <v>6324.48</v>
      </c>
      <c r="AB208" s="31" t="n">
        <f aca="false">AA210</f>
        <v>6522.12</v>
      </c>
      <c r="AC208" s="31" t="n">
        <f aca="false">AB210</f>
        <v>6522.12</v>
      </c>
    </row>
    <row r="209" customFormat="false" ht="15" hidden="false" customHeight="false" outlineLevel="0" collapsed="false">
      <c r="A209" s="9" t="s">
        <v>562</v>
      </c>
      <c r="B209" s="3" t="s">
        <v>95</v>
      </c>
      <c r="D209" s="24" t="n">
        <f aca="false">MAX(0,D207-(D208-D203))</f>
        <v>750</v>
      </c>
      <c r="E209" s="24" t="n">
        <f aca="false">MAX(0,E207-(E208-E203))</f>
        <v>390</v>
      </c>
      <c r="F209" s="24" t="n">
        <f aca="false">MAX(0,F207-(F208-F203))</f>
        <v>492</v>
      </c>
      <c r="G209" s="24" t="n">
        <f aca="false">MAX(0,G207-(G208-G203))</f>
        <v>600</v>
      </c>
      <c r="H209" s="24" t="n">
        <f aca="false">MAX(0,H207-(H208-H203))</f>
        <v>720</v>
      </c>
      <c r="I209" s="24" t="n">
        <f aca="false">MAX(0,I207-(I208-I203))</f>
        <v>840</v>
      </c>
      <c r="J209" s="24" t="n">
        <f aca="false">MAX(0,J207-(J208-J203))</f>
        <v>960</v>
      </c>
      <c r="K209" s="24" t="n">
        <f aca="false">MAX(0,K207-(K208-K203))</f>
        <v>1080</v>
      </c>
      <c r="L209" s="24" t="n">
        <f aca="false">MAX(0,L207-(L208-L203))</f>
        <v>1230</v>
      </c>
      <c r="M209" s="24" t="n">
        <f aca="false">MAX(0,M207-(M208-M203))</f>
        <v>1458</v>
      </c>
      <c r="N209" s="24" t="n">
        <f aca="false">MAX(0,N207-(N208-N203))</f>
        <v>1587.6</v>
      </c>
      <c r="O209" s="24" t="n">
        <f aca="false">MAX(0,O207-(O208-O203))</f>
        <v>1684.8</v>
      </c>
      <c r="P209" s="24" t="n">
        <f aca="false">MAX(0,P207-(P208-P203))</f>
        <v>1782</v>
      </c>
      <c r="Q209" s="24" t="n">
        <f aca="false">MAX(0,Q207-(Q208-Q203))</f>
        <v>1879.2</v>
      </c>
      <c r="R209" s="24" t="n">
        <f aca="false">MAX(0,R207-(R208-R203))</f>
        <v>1976.4</v>
      </c>
      <c r="S209" s="24" t="n">
        <f aca="false">MAX(0,S207-(S208-S203))</f>
        <v>197.64</v>
      </c>
      <c r="T209" s="24" t="n">
        <f aca="false">MAX(0,T207-(T208-T203))</f>
        <v>197.639999999999</v>
      </c>
      <c r="U209" s="24" t="n">
        <f aca="false">MAX(0,U207-(U208-U203))</f>
        <v>197.64</v>
      </c>
      <c r="V209" s="24" t="n">
        <f aca="false">MAX(0,V207-(V208-V203))</f>
        <v>1976.4</v>
      </c>
      <c r="W209" s="24" t="n">
        <f aca="false">MAX(0,W207-(W208-W203))</f>
        <v>1976.4</v>
      </c>
      <c r="X209" s="24" t="n">
        <f aca="false">MAX(0,X207-(X208-X203))</f>
        <v>1976.4</v>
      </c>
      <c r="Y209" s="24" t="n">
        <f aca="false">MAX(0,Y207-(Y208-Y203))</f>
        <v>2174.04</v>
      </c>
      <c r="Z209" s="24" t="n">
        <f aca="false">MAX(0,Z207-(Z208-Z203))</f>
        <v>2174.04</v>
      </c>
      <c r="AA209" s="24" t="n">
        <f aca="false">MAX(0,AA207-(AA208-AA203))</f>
        <v>2174.04</v>
      </c>
      <c r="AB209" s="24" t="n">
        <f aca="false">MAX(0,AB207-(AB208-AB203))</f>
        <v>2174.04</v>
      </c>
      <c r="AC209" s="24" t="n">
        <f aca="false">MAX(0,AC207-(AC208-AC203))</f>
        <v>2174.04</v>
      </c>
    </row>
    <row r="210" customFormat="false" ht="15" hidden="false" customHeight="false" outlineLevel="0" collapsed="false">
      <c r="A210" s="3" t="s">
        <v>563</v>
      </c>
      <c r="B210" s="3" t="s">
        <v>95</v>
      </c>
      <c r="D210" s="31" t="n">
        <f aca="false">D208+D209-D203</f>
        <v>660</v>
      </c>
      <c r="E210" s="31" t="n">
        <f aca="false">E208+E209-E203</f>
        <v>906</v>
      </c>
      <c r="F210" s="31" t="n">
        <f aca="false">F208+F209-F203</f>
        <v>1182</v>
      </c>
      <c r="G210" s="31" t="n">
        <f aca="false">G208+G209-G203</f>
        <v>1482</v>
      </c>
      <c r="H210" s="31" t="n">
        <f aca="false">H208+H209-H203</f>
        <v>1812</v>
      </c>
      <c r="I210" s="31" t="n">
        <f aca="false">I208+I209-I203</f>
        <v>2160</v>
      </c>
      <c r="J210" s="31" t="n">
        <f aca="false">J208+J209-J203</f>
        <v>2520</v>
      </c>
      <c r="K210" s="31" t="n">
        <f aca="false">K208+K209-K203</f>
        <v>2880</v>
      </c>
      <c r="L210" s="31" t="n">
        <f aca="false">L208+L209-L203</f>
        <v>3270</v>
      </c>
      <c r="M210" s="31" t="n">
        <f aca="false">M208+M209-M203</f>
        <v>3768</v>
      </c>
      <c r="N210" s="31" t="n">
        <f aca="false">N208+N209-N203</f>
        <v>4275.6</v>
      </c>
      <c r="O210" s="31" t="n">
        <f aca="false">O208+O209-O203</f>
        <v>4730.4</v>
      </c>
      <c r="P210" s="31" t="n">
        <f aca="false">P208+P209-P203</f>
        <v>5054.4</v>
      </c>
      <c r="Q210" s="31" t="n">
        <f aca="false">Q208+Q209-Q203</f>
        <v>5346</v>
      </c>
      <c r="R210" s="31" t="n">
        <f aca="false">R208+R209-R203</f>
        <v>5637.6</v>
      </c>
      <c r="S210" s="31" t="n">
        <f aca="false">S208+S209-S203</f>
        <v>4053.24</v>
      </c>
      <c r="T210" s="31" t="n">
        <f aca="false">T208+T209-T203</f>
        <v>2371.68</v>
      </c>
      <c r="U210" s="31" t="n">
        <f aca="false">U208+U209-U203</f>
        <v>592.92</v>
      </c>
      <c r="V210" s="31" t="n">
        <f aca="false">V208+V209-V203</f>
        <v>2371.68</v>
      </c>
      <c r="W210" s="31" t="n">
        <f aca="false">W208+W209-W203</f>
        <v>4150.44</v>
      </c>
      <c r="X210" s="31" t="n">
        <f aca="false">X208+X209-X203</f>
        <v>5929.2</v>
      </c>
      <c r="Y210" s="31" t="n">
        <f aca="false">Y208+Y209-Y203</f>
        <v>6126.84</v>
      </c>
      <c r="Z210" s="31" t="n">
        <f aca="false">Z208+Z209-Z203</f>
        <v>6324.48</v>
      </c>
      <c r="AA210" s="31" t="n">
        <f aca="false">AA208+AA209-AA203</f>
        <v>6522.12</v>
      </c>
      <c r="AB210" s="31" t="n">
        <f aca="false">AB208+AB209-AB203</f>
        <v>6522.12</v>
      </c>
      <c r="AC210" s="31" t="n">
        <f aca="false">AC208+AC209-AC203</f>
        <v>6522.12</v>
      </c>
    </row>
    <row r="211" customFormat="false" ht="15" hidden="false" customHeight="false" outlineLevel="0" collapsed="false">
      <c r="A211" s="3" t="s">
        <v>564</v>
      </c>
      <c r="B211" s="3" t="s">
        <v>186</v>
      </c>
      <c r="D211" s="66" t="n">
        <f aca="false">IF(D$201&gt;=Assumptions!$C$102,Assumptions!$C$104,Assumptions!$C$103)</f>
        <v>1</v>
      </c>
      <c r="E211" s="66" t="n">
        <f aca="false">IF(E$201&gt;=Assumptions!$C$102,Assumptions!$C$104,Assumptions!$C$103)</f>
        <v>1</v>
      </c>
      <c r="F211" s="66" t="n">
        <f aca="false">IF(F$201&gt;=Assumptions!$C$102,Assumptions!$C$104,Assumptions!$C$103)</f>
        <v>1</v>
      </c>
      <c r="G211" s="66" t="n">
        <f aca="false">IF(G$201&gt;=Assumptions!$C$102,Assumptions!$C$104,Assumptions!$C$103)</f>
        <v>1</v>
      </c>
      <c r="H211" s="66" t="n">
        <f aca="false">IF(H$201&gt;=Assumptions!$C$102,Assumptions!$C$104,Assumptions!$C$103)</f>
        <v>1</v>
      </c>
      <c r="I211" s="66" t="n">
        <f aca="false">IF(I$201&gt;=Assumptions!$C$102,Assumptions!$C$104,Assumptions!$C$103)</f>
        <v>1</v>
      </c>
      <c r="J211" s="66" t="n">
        <f aca="false">IF(J$201&gt;=Assumptions!$C$102,Assumptions!$C$104,Assumptions!$C$103)</f>
        <v>1</v>
      </c>
      <c r="K211" s="66" t="n">
        <f aca="false">IF(K$201&gt;=Assumptions!$C$102,Assumptions!$C$104,Assumptions!$C$103)</f>
        <v>1</v>
      </c>
      <c r="L211" s="66" t="n">
        <f aca="false">IF(L$201&gt;=Assumptions!$C$102,Assumptions!$C$104,Assumptions!$C$103)</f>
        <v>1</v>
      </c>
      <c r="M211" s="66" t="n">
        <f aca="false">IF(M$201&gt;=Assumptions!$C$102,Assumptions!$C$104,Assumptions!$C$103)</f>
        <v>1</v>
      </c>
      <c r="N211" s="66" t="n">
        <f aca="false">IF(N$201&gt;=Assumptions!$C$102,Assumptions!$C$104,Assumptions!$C$103)</f>
        <v>1</v>
      </c>
      <c r="O211" s="66" t="n">
        <f aca="false">IF(O$201&gt;=Assumptions!$C$102,Assumptions!$C$104,Assumptions!$C$103)</f>
        <v>1</v>
      </c>
      <c r="P211" s="66" t="n">
        <f aca="false">IF(P$201&gt;=Assumptions!$C$102,Assumptions!$C$104,Assumptions!$C$103)</f>
        <v>1</v>
      </c>
      <c r="Q211" s="66" t="n">
        <f aca="false">IF(Q$201&gt;=Assumptions!$C$102,Assumptions!$C$104,Assumptions!$C$103)</f>
        <v>1</v>
      </c>
      <c r="R211" s="66" t="n">
        <f aca="false">IF(R$201&gt;=Assumptions!$C$102,Assumptions!$C$104,Assumptions!$C$103)</f>
        <v>1</v>
      </c>
      <c r="S211" s="66" t="n">
        <f aca="false">IF(S$201&gt;=Assumptions!$C$102,Assumptions!$C$104,Assumptions!$C$103)</f>
        <v>1</v>
      </c>
      <c r="T211" s="66" t="n">
        <f aca="false">IF(T$201&gt;=Assumptions!$C$102,Assumptions!$C$104,Assumptions!$C$103)</f>
        <v>1</v>
      </c>
      <c r="U211" s="66" t="n">
        <f aca="false">IF(U$201&gt;=Assumptions!$C$102,Assumptions!$C$104,Assumptions!$C$103)</f>
        <v>1</v>
      </c>
      <c r="V211" s="66" t="n">
        <f aca="false">IF(V$201&gt;=Assumptions!$C$102,Assumptions!$C$104,Assumptions!$C$103)</f>
        <v>1</v>
      </c>
      <c r="W211" s="66" t="n">
        <f aca="false">IF(W$201&gt;=Assumptions!$C$102,Assumptions!$C$104,Assumptions!$C$103)</f>
        <v>1</v>
      </c>
      <c r="X211" s="66" t="n">
        <f aca="false">IF(X$201&gt;=Assumptions!$C$102,Assumptions!$C$104,Assumptions!$C$103)</f>
        <v>1</v>
      </c>
      <c r="Y211" s="66" t="n">
        <f aca="false">IF(Y$201&gt;=Assumptions!$C$102,Assumptions!$C$104,Assumptions!$C$103)</f>
        <v>1</v>
      </c>
      <c r="Z211" s="66" t="n">
        <f aca="false">IF(Z$201&gt;=Assumptions!$C$102,Assumptions!$C$104,Assumptions!$C$103)</f>
        <v>1</v>
      </c>
      <c r="AA211" s="66" t="n">
        <f aca="false">IF(AA$201&gt;=Assumptions!$C$102,Assumptions!$C$104,Assumptions!$C$103)</f>
        <v>1</v>
      </c>
      <c r="AB211" s="66" t="n">
        <f aca="false">IF(AB$201&gt;=Assumptions!$C$102,Assumptions!$C$104,Assumptions!$C$103)</f>
        <v>1</v>
      </c>
      <c r="AC211" s="66" t="n">
        <f aca="false">IF(AC$201&gt;=Assumptions!$C$102,Assumptions!$C$104,Assumptions!$C$103)</f>
        <v>1</v>
      </c>
    </row>
    <row r="212" customFormat="false" ht="15" hidden="false" customHeight="false" outlineLevel="0" collapsed="false">
      <c r="A212" s="3" t="s">
        <v>565</v>
      </c>
      <c r="B212" s="3" t="s">
        <v>90</v>
      </c>
      <c r="D212" s="30" t="n">
        <f aca="false">D$201-D211</f>
        <v>0</v>
      </c>
      <c r="E212" s="30" t="n">
        <f aca="false">E$201-E211</f>
        <v>1</v>
      </c>
      <c r="F212" s="30" t="n">
        <f aca="false">F$201-F211</f>
        <v>2</v>
      </c>
      <c r="G212" s="30" t="n">
        <f aca="false">G$201-G211</f>
        <v>3</v>
      </c>
      <c r="H212" s="30" t="n">
        <f aca="false">H$201-H211</f>
        <v>4</v>
      </c>
      <c r="I212" s="30" t="n">
        <f aca="false">I$201-I211</f>
        <v>5</v>
      </c>
      <c r="J212" s="30" t="n">
        <f aca="false">J$201-J211</f>
        <v>6</v>
      </c>
      <c r="K212" s="30" t="n">
        <f aca="false">K$201-K211</f>
        <v>7</v>
      </c>
      <c r="L212" s="30" t="n">
        <f aca="false">L$201-L211</f>
        <v>8</v>
      </c>
      <c r="M212" s="30" t="n">
        <f aca="false">M$201-M211</f>
        <v>9</v>
      </c>
      <c r="N212" s="30" t="n">
        <f aca="false">N$201-N211</f>
        <v>10</v>
      </c>
      <c r="O212" s="30" t="n">
        <f aca="false">O$201-O211</f>
        <v>11</v>
      </c>
      <c r="P212" s="30" t="n">
        <f aca="false">P$201-P211</f>
        <v>12</v>
      </c>
      <c r="Q212" s="30" t="n">
        <f aca="false">Q$201-Q211</f>
        <v>13</v>
      </c>
      <c r="R212" s="30" t="n">
        <f aca="false">R$201-R211</f>
        <v>14</v>
      </c>
      <c r="S212" s="30" t="n">
        <f aca="false">S$201-S211</f>
        <v>15</v>
      </c>
      <c r="T212" s="30" t="n">
        <f aca="false">T$201-T211</f>
        <v>16</v>
      </c>
      <c r="U212" s="30" t="n">
        <f aca="false">U$201-U211</f>
        <v>17</v>
      </c>
      <c r="V212" s="30" t="n">
        <f aca="false">V$201-V211</f>
        <v>18</v>
      </c>
      <c r="W212" s="30" t="n">
        <f aca="false">W$201-W211</f>
        <v>19</v>
      </c>
      <c r="X212" s="30" t="n">
        <f aca="false">X$201-X211</f>
        <v>20</v>
      </c>
      <c r="Y212" s="30" t="n">
        <f aca="false">Y$201-Y211</f>
        <v>21</v>
      </c>
      <c r="Z212" s="30" t="n">
        <f aca="false">Z$201-Z211</f>
        <v>22</v>
      </c>
      <c r="AA212" s="30" t="n">
        <f aca="false">AA$201-AA211</f>
        <v>23</v>
      </c>
      <c r="AB212" s="30" t="n">
        <f aca="false">AB$201-AB211</f>
        <v>24</v>
      </c>
      <c r="AC212" s="30" t="n">
        <f aca="false">AC$201-AC211</f>
        <v>25</v>
      </c>
    </row>
    <row r="213" customFormat="false" ht="15" hidden="false" customHeight="false" outlineLevel="0" collapsed="false">
      <c r="A213" s="3" t="s">
        <v>566</v>
      </c>
      <c r="B213" s="3" t="s">
        <v>90</v>
      </c>
      <c r="D213" s="30" t="n">
        <f aca="false">D$201-1</f>
        <v>0</v>
      </c>
      <c r="E213" s="30" t="n">
        <f aca="false">E$201-1</f>
        <v>1</v>
      </c>
      <c r="F213" s="30" t="n">
        <f aca="false">F$201-1</f>
        <v>2</v>
      </c>
      <c r="G213" s="30" t="n">
        <f aca="false">G$201-1</f>
        <v>3</v>
      </c>
      <c r="H213" s="30" t="n">
        <f aca="false">H$201-1</f>
        <v>4</v>
      </c>
      <c r="I213" s="30" t="n">
        <f aca="false">I$201-1</f>
        <v>5</v>
      </c>
      <c r="J213" s="30" t="n">
        <f aca="false">J$201-1</f>
        <v>6</v>
      </c>
      <c r="K213" s="30" t="n">
        <f aca="false">K$201-1</f>
        <v>7</v>
      </c>
      <c r="L213" s="30" t="n">
        <f aca="false">L$201-1</f>
        <v>8</v>
      </c>
      <c r="M213" s="30" t="n">
        <f aca="false">M$201-1</f>
        <v>9</v>
      </c>
      <c r="N213" s="30" t="n">
        <f aca="false">N$201-1</f>
        <v>10</v>
      </c>
      <c r="O213" s="30" t="n">
        <f aca="false">O$201-1</f>
        <v>11</v>
      </c>
      <c r="P213" s="30" t="n">
        <f aca="false">P$201-1</f>
        <v>12</v>
      </c>
      <c r="Q213" s="30" t="n">
        <f aca="false">Q$201-1</f>
        <v>13</v>
      </c>
      <c r="R213" s="30" t="n">
        <f aca="false">R$201-1</f>
        <v>14</v>
      </c>
      <c r="S213" s="30" t="n">
        <f aca="false">S$201-1</f>
        <v>15</v>
      </c>
      <c r="T213" s="30" t="n">
        <f aca="false">T$201-1</f>
        <v>16</v>
      </c>
      <c r="U213" s="30" t="n">
        <f aca="false">U$201-1</f>
        <v>17</v>
      </c>
      <c r="V213" s="30" t="n">
        <f aca="false">V$201-1</f>
        <v>18</v>
      </c>
      <c r="W213" s="30" t="n">
        <f aca="false">W$201-1</f>
        <v>19</v>
      </c>
      <c r="X213" s="30" t="n">
        <f aca="false">X$201-1</f>
        <v>20</v>
      </c>
      <c r="Y213" s="30" t="n">
        <f aca="false">Y$201-1</f>
        <v>21</v>
      </c>
      <c r="Z213" s="30" t="n">
        <f aca="false">Z$201-1</f>
        <v>22</v>
      </c>
      <c r="AA213" s="30" t="n">
        <f aca="false">AA$201-1</f>
        <v>23</v>
      </c>
      <c r="AB213" s="30" t="n">
        <f aca="false">AB$201-1</f>
        <v>24</v>
      </c>
      <c r="AC213" s="30" t="n">
        <f aca="false">AC$201-1</f>
        <v>25</v>
      </c>
    </row>
    <row r="214" customFormat="false" ht="15" hidden="false" customHeight="false" outlineLevel="0" collapsed="false">
      <c r="A214" s="3" t="s">
        <v>567</v>
      </c>
      <c r="B214" s="3" t="s">
        <v>62</v>
      </c>
      <c r="D214" s="38" t="n">
        <f aca="false">D209*D205</f>
        <v>5534.47552447553</v>
      </c>
      <c r="E214" s="38" t="n">
        <f aca="false">E209*E205</f>
        <v>2877.92727272727</v>
      </c>
      <c r="F214" s="38" t="n">
        <f aca="false">F209*F205</f>
        <v>3630.61594405594</v>
      </c>
      <c r="G214" s="38" t="n">
        <f aca="false">G209*G205</f>
        <v>4427.58041958042</v>
      </c>
      <c r="H214" s="38" t="n">
        <f aca="false">H209*H205</f>
        <v>5313.09650349651</v>
      </c>
      <c r="I214" s="38" t="n">
        <f aca="false">I209*I205</f>
        <v>6198.61258741259</v>
      </c>
      <c r="J214" s="38" t="n">
        <f aca="false">J209*J205</f>
        <v>7084.12867132867</v>
      </c>
      <c r="K214" s="38" t="n">
        <f aca="false">K209*K205</f>
        <v>7969.64475524476</v>
      </c>
      <c r="L214" s="38" t="n">
        <f aca="false">L209*L205</f>
        <v>9076.53986013986</v>
      </c>
      <c r="M214" s="38" t="n">
        <f aca="false">M209*M205</f>
        <v>10759.0204195804</v>
      </c>
      <c r="N214" s="38" t="n">
        <f aca="false">N209*N205</f>
        <v>11715.3777902098</v>
      </c>
      <c r="O214" s="38" t="n">
        <f aca="false">O209*O205</f>
        <v>12432.6458181818</v>
      </c>
      <c r="P214" s="38" t="n">
        <f aca="false">P209*P205</f>
        <v>13149.9138461538</v>
      </c>
      <c r="Q214" s="38" t="n">
        <f aca="false">Q209*Q205</f>
        <v>13867.1818741259</v>
      </c>
      <c r="R214" s="38" t="n">
        <f aca="false">R209*R205</f>
        <v>14584.4499020979</v>
      </c>
      <c r="S214" s="38" t="n">
        <f aca="false">S209*S205</f>
        <v>1458.44499020979</v>
      </c>
      <c r="T214" s="38" t="n">
        <f aca="false">T209*T205</f>
        <v>1458.44499020979</v>
      </c>
      <c r="U214" s="38" t="n">
        <f aca="false">U209*U205</f>
        <v>1458.44499020979</v>
      </c>
      <c r="V214" s="38" t="n">
        <f aca="false">V209*V205</f>
        <v>14584.4499020979</v>
      </c>
      <c r="W214" s="38" t="n">
        <f aca="false">W209*W205</f>
        <v>14584.4499020979</v>
      </c>
      <c r="X214" s="38" t="n">
        <f aca="false">X209*X205</f>
        <v>14584.4499020979</v>
      </c>
      <c r="Y214" s="38" t="n">
        <f aca="false">Y209*Y205</f>
        <v>16042.8948923077</v>
      </c>
      <c r="Z214" s="38" t="n">
        <f aca="false">Z209*Z205</f>
        <v>16042.8948923077</v>
      </c>
      <c r="AA214" s="38" t="n">
        <f aca="false">AA209*AA205</f>
        <v>16042.8948923077</v>
      </c>
      <c r="AB214" s="38" t="n">
        <f aca="false">AB209*AB205</f>
        <v>16042.8948923077</v>
      </c>
      <c r="AC214" s="38" t="n">
        <f aca="false">AC209*AC205</f>
        <v>16042.8948923077</v>
      </c>
    </row>
    <row r="215" customFormat="false" ht="15" hidden="false" customHeight="false" outlineLevel="0" collapsed="false">
      <c r="A215" s="3" t="s">
        <v>568</v>
      </c>
      <c r="B215" s="3" t="s">
        <v>62</v>
      </c>
      <c r="D215" s="38" t="n">
        <f aca="false">D209*D206</f>
        <v>6720.52447552448</v>
      </c>
      <c r="E215" s="38" t="n">
        <f aca="false">E209*E206</f>
        <v>3494.67272727273</v>
      </c>
      <c r="F215" s="38" t="n">
        <f aca="false">F209*F206</f>
        <v>4408.66405594406</v>
      </c>
      <c r="G215" s="38" t="n">
        <f aca="false">G209*G206</f>
        <v>5376.41958041958</v>
      </c>
      <c r="H215" s="38" t="n">
        <f aca="false">H209*H206</f>
        <v>6451.7034965035</v>
      </c>
      <c r="I215" s="38" t="n">
        <f aca="false">I209*I206</f>
        <v>7526.98741258741</v>
      </c>
      <c r="J215" s="38" t="n">
        <f aca="false">J209*J206</f>
        <v>8602.27132867133</v>
      </c>
      <c r="K215" s="38" t="n">
        <f aca="false">K209*K206</f>
        <v>9677.55524475524</v>
      </c>
      <c r="L215" s="38" t="n">
        <f aca="false">L209*L206</f>
        <v>11021.6601398601</v>
      </c>
      <c r="M215" s="38" t="n">
        <f aca="false">M209*M206</f>
        <v>13064.6995804196</v>
      </c>
      <c r="N215" s="38" t="n">
        <f aca="false">N209*N206</f>
        <v>14226.0062097902</v>
      </c>
      <c r="O215" s="38" t="n">
        <f aca="false">O209*O206</f>
        <v>15096.9861818182</v>
      </c>
      <c r="P215" s="38" t="n">
        <f aca="false">P209*P206</f>
        <v>15967.9661538462</v>
      </c>
      <c r="Q215" s="38" t="n">
        <f aca="false">Q209*Q206</f>
        <v>16838.9461258741</v>
      </c>
      <c r="R215" s="38" t="n">
        <f aca="false">R209*R206</f>
        <v>17709.9260979021</v>
      </c>
      <c r="S215" s="38" t="n">
        <f aca="false">S209*S206</f>
        <v>1770.99260979021</v>
      </c>
      <c r="T215" s="38" t="n">
        <f aca="false">T209*T206</f>
        <v>1770.9926097902</v>
      </c>
      <c r="U215" s="38" t="n">
        <f aca="false">U209*U206</f>
        <v>1770.99260979021</v>
      </c>
      <c r="V215" s="38" t="n">
        <f aca="false">V209*V206</f>
        <v>17709.9260979021</v>
      </c>
      <c r="W215" s="38" t="n">
        <f aca="false">W209*W206</f>
        <v>17709.9260979021</v>
      </c>
      <c r="X215" s="38" t="n">
        <f aca="false">X209*X206</f>
        <v>17709.9260979021</v>
      </c>
      <c r="Y215" s="38" t="n">
        <f aca="false">Y209*Y206</f>
        <v>19480.9187076923</v>
      </c>
      <c r="Z215" s="38" t="n">
        <f aca="false">Z209*Z206</f>
        <v>19480.9187076923</v>
      </c>
      <c r="AA215" s="38" t="n">
        <f aca="false">AA209*AA206</f>
        <v>19480.9187076923</v>
      </c>
      <c r="AB215" s="38" t="n">
        <f aca="false">AB209*AB206</f>
        <v>19480.9187076923</v>
      </c>
      <c r="AC215" s="38" t="n">
        <f aca="false">AC209*AC206</f>
        <v>19480.9187076923</v>
      </c>
    </row>
    <row r="217" customFormat="false" ht="15" hidden="false" customHeight="false" outlineLevel="0" collapsed="false">
      <c r="A217" s="9" t="s">
        <v>569</v>
      </c>
    </row>
    <row r="218" customFormat="false" ht="15" hidden="false" customHeight="false" outlineLevel="0" collapsed="false">
      <c r="A218" s="3" t="s">
        <v>570</v>
      </c>
      <c r="B218" s="3" t="s">
        <v>62</v>
      </c>
      <c r="C218" s="60" t="n">
        <f aca="false">Assumptions!$C$107*SUMPRODUCT(($D$212:$AC$212=C$201)*$D$214:$AC$214)</f>
        <v>1660.34265734266</v>
      </c>
      <c r="D218" s="60" t="n">
        <f aca="false">Assumptions!$C$107*SUMPRODUCT(($D$212:$AC$212=D$201)*$D$214:$AC$214)</f>
        <v>863.378181818182</v>
      </c>
      <c r="E218" s="60" t="n">
        <f aca="false">Assumptions!$C$107*SUMPRODUCT(($D$212:$AC$212=E$201)*$D$214:$AC$214)</f>
        <v>1089.18478321678</v>
      </c>
      <c r="F218" s="60" t="n">
        <f aca="false">Assumptions!$C$107*SUMPRODUCT(($D$212:$AC$212=F$201)*$D$214:$AC$214)</f>
        <v>1328.27412587413</v>
      </c>
      <c r="G218" s="60" t="n">
        <f aca="false">Assumptions!$C$107*SUMPRODUCT(($D$212:$AC$212=G$201)*$D$214:$AC$214)</f>
        <v>1593.92895104895</v>
      </c>
      <c r="H218" s="60" t="n">
        <f aca="false">Assumptions!$C$107*SUMPRODUCT(($D$212:$AC$212=H$201)*$D$214:$AC$214)</f>
        <v>1859.58377622378</v>
      </c>
      <c r="I218" s="60" t="n">
        <f aca="false">Assumptions!$C$107*SUMPRODUCT(($D$212:$AC$212=I$201)*$D$214:$AC$214)</f>
        <v>2125.2386013986</v>
      </c>
      <c r="J218" s="60" t="n">
        <f aca="false">Assumptions!$C$107*SUMPRODUCT(($D$212:$AC$212=J$201)*$D$214:$AC$214)</f>
        <v>2390.89342657343</v>
      </c>
      <c r="K218" s="60" t="n">
        <f aca="false">Assumptions!$C$107*SUMPRODUCT(($D$212:$AC$212=K$201)*$D$214:$AC$214)</f>
        <v>2722.96195804196</v>
      </c>
      <c r="L218" s="60" t="n">
        <f aca="false">Assumptions!$C$107*SUMPRODUCT(($D$212:$AC$212=L$201)*$D$214:$AC$214)</f>
        <v>3227.70612587413</v>
      </c>
      <c r="M218" s="60" t="n">
        <f aca="false">Assumptions!$C$107*SUMPRODUCT(($D$212:$AC$212=M$201)*$D$214:$AC$214)</f>
        <v>3514.61333706294</v>
      </c>
      <c r="N218" s="60" t="n">
        <f aca="false">Assumptions!$C$107*SUMPRODUCT(($D$212:$AC$212=N$201)*$D$214:$AC$214)</f>
        <v>3729.79374545454</v>
      </c>
      <c r="O218" s="60" t="n">
        <f aca="false">Assumptions!$C$107*SUMPRODUCT(($D$212:$AC$212=O$201)*$D$214:$AC$214)</f>
        <v>3944.97415384615</v>
      </c>
      <c r="P218" s="60" t="n">
        <f aca="false">Assumptions!$C$107*SUMPRODUCT(($D$212:$AC$212=P$201)*$D$214:$AC$214)</f>
        <v>4160.15456223776</v>
      </c>
      <c r="Q218" s="60" t="n">
        <f aca="false">Assumptions!$C$107*SUMPRODUCT(($D$212:$AC$212=Q$201)*$D$214:$AC$214)</f>
        <v>4375.33497062937</v>
      </c>
      <c r="R218" s="60" t="n">
        <f aca="false">Assumptions!$C$107*SUMPRODUCT(($D$212:$AC$212=R$201)*$D$214:$AC$214)</f>
        <v>437.533497062938</v>
      </c>
      <c r="S218" s="60" t="n">
        <f aca="false">Assumptions!$C$107*SUMPRODUCT(($D$212:$AC$212=S$201)*$D$214:$AC$214)</f>
        <v>437.533497062936</v>
      </c>
      <c r="T218" s="60" t="n">
        <f aca="false">Assumptions!$C$107*SUMPRODUCT(($D$212:$AC$212=T$201)*$D$214:$AC$214)</f>
        <v>437.533497062937</v>
      </c>
      <c r="U218" s="60" t="n">
        <f aca="false">Assumptions!$C$107*SUMPRODUCT(($D$212:$AC$212=U$201)*$D$214:$AC$214)</f>
        <v>4375.33497062937</v>
      </c>
      <c r="V218" s="60" t="n">
        <f aca="false">Assumptions!$C$107*SUMPRODUCT(($D$212:$AC$212=V$201)*$D$214:$AC$214)</f>
        <v>4375.33497062937</v>
      </c>
      <c r="W218" s="60" t="n">
        <f aca="false">Assumptions!$C$107*SUMPRODUCT(($D$212:$AC$212=W$201)*$D$214:$AC$214)</f>
        <v>4375.33497062937</v>
      </c>
      <c r="X218" s="60" t="n">
        <f aca="false">Assumptions!$C$107*SUMPRODUCT(($D$212:$AC$212=X$201)*$D$214:$AC$214)</f>
        <v>4812.86846769231</v>
      </c>
      <c r="Y218" s="60" t="n">
        <f aca="false">Assumptions!$C$107*SUMPRODUCT(($D$212:$AC$212=Y$201)*$D$214:$AC$214)</f>
        <v>4812.86846769231</v>
      </c>
      <c r="Z218" s="60" t="n">
        <f aca="false">Assumptions!$C$107*SUMPRODUCT(($D$212:$AC$212=Z$201)*$D$214:$AC$214)</f>
        <v>4812.86846769231</v>
      </c>
      <c r="AA218" s="60" t="n">
        <f aca="false">Assumptions!$C$107*SUMPRODUCT(($D$212:$AC$212=AA$201)*$D$214:$AC$214)</f>
        <v>4812.86846769231</v>
      </c>
    </row>
    <row r="219" customFormat="false" ht="15" hidden="false" customHeight="false" outlineLevel="0" collapsed="false">
      <c r="A219" s="3" t="s">
        <v>571</v>
      </c>
      <c r="B219" s="3" t="s">
        <v>62</v>
      </c>
      <c r="C219" s="60" t="n">
        <f aca="false">(1-Assumptions!$C$107)*SUMPRODUCT(($D$213:$AC$213=C$201)*$D$214:$AC$214)</f>
        <v>3874.13286713287</v>
      </c>
      <c r="D219" s="60" t="n">
        <f aca="false">(1-Assumptions!$C$107)*SUMPRODUCT(($D$213:$AC$213=D$201)*$D$214:$AC$214)</f>
        <v>2014.54909090909</v>
      </c>
      <c r="E219" s="60" t="n">
        <f aca="false">(1-Assumptions!$C$107)*SUMPRODUCT(($D$213:$AC$213=E$201)*$D$214:$AC$214)</f>
        <v>2541.43116083916</v>
      </c>
      <c r="F219" s="60" t="n">
        <f aca="false">(1-Assumptions!$C$107)*SUMPRODUCT(($D$213:$AC$213=F$201)*$D$214:$AC$214)</f>
        <v>3099.30629370629</v>
      </c>
      <c r="G219" s="60" t="n">
        <f aca="false">(1-Assumptions!$C$107)*SUMPRODUCT(($D$213:$AC$213=G$201)*$D$214:$AC$214)</f>
        <v>3719.16755244755</v>
      </c>
      <c r="H219" s="60" t="n">
        <f aca="false">(1-Assumptions!$C$107)*SUMPRODUCT(($D$213:$AC$213=H$201)*$D$214:$AC$214)</f>
        <v>4339.02881118881</v>
      </c>
      <c r="I219" s="60" t="n">
        <f aca="false">(1-Assumptions!$C$107)*SUMPRODUCT(($D$213:$AC$213=I$201)*$D$214:$AC$214)</f>
        <v>4958.89006993007</v>
      </c>
      <c r="J219" s="60" t="n">
        <f aca="false">(1-Assumptions!$C$107)*SUMPRODUCT(($D$213:$AC$213=J$201)*$D$214:$AC$214)</f>
        <v>5578.75132867133</v>
      </c>
      <c r="K219" s="60" t="n">
        <f aca="false">(1-Assumptions!$C$107)*SUMPRODUCT(($D$213:$AC$213=K$201)*$D$214:$AC$214)</f>
        <v>6353.5779020979</v>
      </c>
      <c r="L219" s="60" t="n">
        <f aca="false">(1-Assumptions!$C$107)*SUMPRODUCT(($D$213:$AC$213=L$201)*$D$214:$AC$214)</f>
        <v>7531.3142937063</v>
      </c>
      <c r="M219" s="60" t="n">
        <f aca="false">(1-Assumptions!$C$107)*SUMPRODUCT(($D$213:$AC$213=M$201)*$D$214:$AC$214)</f>
        <v>8200.76445314686</v>
      </c>
      <c r="N219" s="60" t="n">
        <f aca="false">(1-Assumptions!$C$107)*SUMPRODUCT(($D$213:$AC$213=N$201)*$D$214:$AC$214)</f>
        <v>8702.85207272727</v>
      </c>
      <c r="O219" s="60" t="n">
        <f aca="false">(1-Assumptions!$C$107)*SUMPRODUCT(($D$213:$AC$213=O$201)*$D$214:$AC$214)</f>
        <v>9204.93969230769</v>
      </c>
      <c r="P219" s="60" t="n">
        <f aca="false">(1-Assumptions!$C$107)*SUMPRODUCT(($D$213:$AC$213=P$201)*$D$214:$AC$214)</f>
        <v>9707.02731188811</v>
      </c>
      <c r="Q219" s="60" t="n">
        <f aca="false">(1-Assumptions!$C$107)*SUMPRODUCT(($D$213:$AC$213=Q$201)*$D$214:$AC$214)</f>
        <v>10209.1149314685</v>
      </c>
      <c r="R219" s="60" t="n">
        <f aca="false">(1-Assumptions!$C$107)*SUMPRODUCT(($D$213:$AC$213=R$201)*$D$214:$AC$214)</f>
        <v>1020.91149314685</v>
      </c>
      <c r="S219" s="60" t="n">
        <f aca="false">(1-Assumptions!$C$107)*SUMPRODUCT(($D$213:$AC$213=S$201)*$D$214:$AC$214)</f>
        <v>1020.91149314685</v>
      </c>
      <c r="T219" s="60" t="n">
        <f aca="false">(1-Assumptions!$C$107)*SUMPRODUCT(($D$213:$AC$213=T$201)*$D$214:$AC$214)</f>
        <v>1020.91149314685</v>
      </c>
      <c r="U219" s="60" t="n">
        <f aca="false">(1-Assumptions!$C$107)*SUMPRODUCT(($D$213:$AC$213=U$201)*$D$214:$AC$214)</f>
        <v>10209.1149314685</v>
      </c>
      <c r="V219" s="60" t="n">
        <f aca="false">(1-Assumptions!$C$107)*SUMPRODUCT(($D$213:$AC$213=V$201)*$D$214:$AC$214)</f>
        <v>10209.1149314685</v>
      </c>
      <c r="W219" s="60" t="n">
        <f aca="false">(1-Assumptions!$C$107)*SUMPRODUCT(($D$213:$AC$213=W$201)*$D$214:$AC$214)</f>
        <v>10209.1149314685</v>
      </c>
      <c r="X219" s="60" t="n">
        <f aca="false">(1-Assumptions!$C$107)*SUMPRODUCT(($D$213:$AC$213=X$201)*$D$214:$AC$214)</f>
        <v>11230.0264246154</v>
      </c>
      <c r="Y219" s="60" t="n">
        <f aca="false">(1-Assumptions!$C$107)*SUMPRODUCT(($D$213:$AC$213=Y$201)*$D$214:$AC$214)</f>
        <v>11230.0264246154</v>
      </c>
      <c r="Z219" s="60" t="n">
        <f aca="false">(1-Assumptions!$C$107)*SUMPRODUCT(($D$213:$AC$213=Z$201)*$D$214:$AC$214)</f>
        <v>11230.0264246154</v>
      </c>
      <c r="AA219" s="60" t="n">
        <f aca="false">(1-Assumptions!$C$107)*SUMPRODUCT(($D$213:$AC$213=AA$201)*$D$214:$AC$214)</f>
        <v>11230.0264246154</v>
      </c>
    </row>
    <row r="220" customFormat="false" ht="15" hidden="false" customHeight="false" outlineLevel="0" collapsed="false">
      <c r="A220" s="3" t="s">
        <v>572</v>
      </c>
      <c r="B220" s="3" t="s">
        <v>62</v>
      </c>
      <c r="C220" s="38" t="n">
        <f aca="false">0</f>
        <v>0</v>
      </c>
      <c r="D220" s="38" t="n">
        <f aca="false">D215</f>
        <v>6720.52447552448</v>
      </c>
      <c r="E220" s="38" t="n">
        <f aca="false">E215</f>
        <v>3494.67272727273</v>
      </c>
      <c r="F220" s="38" t="n">
        <f aca="false">F215</f>
        <v>4408.66405594406</v>
      </c>
      <c r="G220" s="38" t="n">
        <f aca="false">G215</f>
        <v>5376.41958041958</v>
      </c>
      <c r="H220" s="38" t="n">
        <f aca="false">H215</f>
        <v>6451.7034965035</v>
      </c>
      <c r="I220" s="38" t="n">
        <f aca="false">I215</f>
        <v>7526.98741258741</v>
      </c>
      <c r="J220" s="38" t="n">
        <f aca="false">J215</f>
        <v>8602.27132867133</v>
      </c>
      <c r="K220" s="38" t="n">
        <f aca="false">K215</f>
        <v>9677.55524475524</v>
      </c>
      <c r="L220" s="38" t="n">
        <f aca="false">L215</f>
        <v>11021.6601398601</v>
      </c>
      <c r="M220" s="38" t="n">
        <f aca="false">M215</f>
        <v>13064.6995804196</v>
      </c>
      <c r="N220" s="38" t="n">
        <f aca="false">N215</f>
        <v>14226.0062097902</v>
      </c>
      <c r="O220" s="38" t="n">
        <f aca="false">O215</f>
        <v>15096.9861818182</v>
      </c>
      <c r="P220" s="38" t="n">
        <f aca="false">P215</f>
        <v>15967.9661538462</v>
      </c>
      <c r="Q220" s="38" t="n">
        <f aca="false">Q215</f>
        <v>16838.9461258741</v>
      </c>
      <c r="R220" s="38" t="n">
        <f aca="false">R215</f>
        <v>17709.9260979021</v>
      </c>
      <c r="S220" s="38" t="n">
        <f aca="false">S215</f>
        <v>1770.99260979021</v>
      </c>
      <c r="T220" s="38" t="n">
        <f aca="false">T215</f>
        <v>1770.9926097902</v>
      </c>
      <c r="U220" s="38" t="n">
        <f aca="false">U215</f>
        <v>1770.99260979021</v>
      </c>
      <c r="V220" s="38" t="n">
        <f aca="false">V215</f>
        <v>17709.9260979021</v>
      </c>
      <c r="W220" s="38" t="n">
        <f aca="false">W215</f>
        <v>17709.9260979021</v>
      </c>
      <c r="X220" s="38" t="n">
        <f aca="false">X215</f>
        <v>17709.9260979021</v>
      </c>
      <c r="Y220" s="38" t="n">
        <f aca="false">Y215</f>
        <v>19480.9187076923</v>
      </c>
      <c r="Z220" s="38" t="n">
        <f aca="false">Z215</f>
        <v>19480.9187076923</v>
      </c>
      <c r="AA220" s="38" t="n">
        <f aca="false">AA215</f>
        <v>19480.9187076923</v>
      </c>
    </row>
    <row r="221" customFormat="false" ht="15" hidden="false" customHeight="false" outlineLevel="0" collapsed="false">
      <c r="A221" s="9" t="s">
        <v>573</v>
      </c>
      <c r="B221" s="3" t="s">
        <v>62</v>
      </c>
      <c r="C221" s="29" t="n">
        <f aca="false">C218+C219+C220</f>
        <v>5534.47552447553</v>
      </c>
      <c r="D221" s="29" t="n">
        <f aca="false">D218+D219+D220</f>
        <v>9598.45174825175</v>
      </c>
      <c r="E221" s="29" t="n">
        <f aca="false">E218+E219+E220</f>
        <v>7125.28867132867</v>
      </c>
      <c r="F221" s="29" t="n">
        <f aca="false">F218+F219+F220</f>
        <v>8836.24447552448</v>
      </c>
      <c r="G221" s="29" t="n">
        <f aca="false">G218+G219+G220</f>
        <v>10689.5160839161</v>
      </c>
      <c r="H221" s="29" t="n">
        <f aca="false">H218+H219+H220</f>
        <v>12650.3160839161</v>
      </c>
      <c r="I221" s="29" t="n">
        <f aca="false">I218+I219+I220</f>
        <v>14611.1160839161</v>
      </c>
      <c r="J221" s="29" t="n">
        <f aca="false">J218+J219+J220</f>
        <v>16571.9160839161</v>
      </c>
      <c r="K221" s="29" t="n">
        <f aca="false">K218+K219+K220</f>
        <v>18754.0951048951</v>
      </c>
      <c r="L221" s="29" t="n">
        <f aca="false">L218+L219+L220</f>
        <v>21780.6805594406</v>
      </c>
      <c r="M221" s="29" t="n">
        <f aca="false">M218+M219+M220</f>
        <v>24780.0773706294</v>
      </c>
      <c r="N221" s="29" t="n">
        <f aca="false">N218+N219+N220</f>
        <v>26658.652027972</v>
      </c>
      <c r="O221" s="29" t="n">
        <f aca="false">O218+O219+O220</f>
        <v>28246.900027972</v>
      </c>
      <c r="P221" s="29" t="n">
        <f aca="false">P218+P219+P220</f>
        <v>29835.148027972</v>
      </c>
      <c r="Q221" s="29" t="n">
        <f aca="false">Q218+Q219+Q220</f>
        <v>31423.396027972</v>
      </c>
      <c r="R221" s="29" t="n">
        <f aca="false">R218+R219+R220</f>
        <v>19168.3710881119</v>
      </c>
      <c r="S221" s="29" t="n">
        <f aca="false">S218+S219+S220</f>
        <v>3229.4376</v>
      </c>
      <c r="T221" s="29" t="n">
        <f aca="false">T218+T219+T220</f>
        <v>3229.43759999999</v>
      </c>
      <c r="U221" s="29" t="n">
        <f aca="false">U218+U219+U220</f>
        <v>16355.4425118881</v>
      </c>
      <c r="V221" s="29" t="n">
        <f aca="false">V218+V219+V220</f>
        <v>32294.376</v>
      </c>
      <c r="W221" s="29" t="n">
        <f aca="false">W218+W219+W220</f>
        <v>32294.376</v>
      </c>
      <c r="X221" s="29" t="n">
        <f aca="false">X218+X219+X220</f>
        <v>33752.8209902098</v>
      </c>
      <c r="Y221" s="29" t="n">
        <f aca="false">Y218+Y219+Y220</f>
        <v>35523.8136</v>
      </c>
      <c r="Z221" s="29" t="n">
        <f aca="false">Z218+Z219+Z220</f>
        <v>35523.8136</v>
      </c>
      <c r="AA221" s="29" t="n">
        <f aca="false">AA218+AA219+AA220</f>
        <v>35523.8136</v>
      </c>
    </row>
    <row r="222" customFormat="false" ht="15" hidden="false" customHeight="false" outlineLevel="0" collapsed="false">
      <c r="A222" s="3" t="s">
        <v>574</v>
      </c>
      <c r="B222" s="3" t="s">
        <v>62</v>
      </c>
      <c r="C222" s="38" t="n">
        <f aca="false">0</f>
        <v>0</v>
      </c>
      <c r="D222" s="38" t="n">
        <f aca="false">D51-D53-D54-D55-D56-D57</f>
        <v>941.4</v>
      </c>
      <c r="E222" s="38" t="n">
        <f aca="false">E51-E53-E54-E55-E56-E57</f>
        <v>1506.24</v>
      </c>
      <c r="F222" s="38" t="n">
        <f aca="false">F51-F53-F54-F55-F56-F57</f>
        <v>2259.36</v>
      </c>
      <c r="G222" s="38" t="n">
        <f aca="false">G51-G53-G54-G55-G56-G57</f>
        <v>4050</v>
      </c>
      <c r="H222" s="38" t="n">
        <f aca="false">H51-H53-H54-H55-H56-H57</f>
        <v>5265</v>
      </c>
      <c r="I222" s="38" t="n">
        <f aca="false">I51-I53-I54-I55-I56-I57</f>
        <v>6642</v>
      </c>
      <c r="J222" s="38" t="n">
        <f aca="false">J51-J53-J54-J55-J56-J57</f>
        <v>9696</v>
      </c>
      <c r="K222" s="38" t="n">
        <f aca="false">K51-K53-K54-K55-K56-K57</f>
        <v>11635.2</v>
      </c>
      <c r="L222" s="38" t="n">
        <f aca="false">L51-L53-L54-L55-L56-L57</f>
        <v>13574.4</v>
      </c>
      <c r="M222" s="38" t="n">
        <f aca="false">M51-M53-M54-M55-M56-M57</f>
        <v>15513.6</v>
      </c>
      <c r="N222" s="38" t="n">
        <f aca="false">N51-N53-N54-N55-N56-N57</f>
        <v>17452.8</v>
      </c>
      <c r="O222" s="38" t="n">
        <f aca="false">O51-O53-O54-O55-O56-O57</f>
        <v>19876.8</v>
      </c>
      <c r="P222" s="38" t="n">
        <f aca="false">P51-P53-P54-P55-P56-P57</f>
        <v>23868</v>
      </c>
      <c r="Q222" s="38" t="n">
        <f aca="false">Q51-Q53-Q54-Q55-Q56-Q57</f>
        <v>25989.6</v>
      </c>
      <c r="R222" s="38" t="n">
        <f aca="false">R51-R53-R54-R55-R56-R57</f>
        <v>27580.8</v>
      </c>
      <c r="S222" s="38" t="n">
        <f aca="false">S51-S53-S54-S55-S56-S57</f>
        <v>29172</v>
      </c>
      <c r="T222" s="38" t="n">
        <f aca="false">T51-T53-T54-T55-T56-T57</f>
        <v>30763.2</v>
      </c>
      <c r="U222" s="38" t="n">
        <f aca="false">U51-U53-U54-U55-U56-U57</f>
        <v>32354.4</v>
      </c>
      <c r="V222" s="38" t="n">
        <f aca="false">V51-V53-V54-V55-V56-V57</f>
        <v>3205.245</v>
      </c>
      <c r="W222" s="38" t="n">
        <f aca="false">W51-W53-W54-W55-W56-W57</f>
        <v>3205.245</v>
      </c>
      <c r="X222" s="38" t="n">
        <f aca="false">X51-X53-X54-X55-X56-X57</f>
        <v>3205.245</v>
      </c>
      <c r="Y222" s="38" t="n">
        <f aca="false">Y51-Y53-Y54-Y55-Y56-Y57</f>
        <v>32052.45</v>
      </c>
      <c r="Z222" s="38" t="n">
        <f aca="false">Z51-Z53-Z54-Z55-Z56-Z57</f>
        <v>32052.45</v>
      </c>
      <c r="AA222" s="38" t="n">
        <f aca="false">AA51-AA53-AA54-AA55-AA56-AA57</f>
        <v>32052.45</v>
      </c>
    </row>
    <row r="223" customFormat="false" ht="15" hidden="false" customHeight="false" outlineLevel="0" collapsed="false">
      <c r="A223" s="3" t="s">
        <v>575</v>
      </c>
      <c r="B223" s="3" t="s">
        <v>62</v>
      </c>
      <c r="C223" s="38" t="n">
        <f aca="false">0</f>
        <v>0</v>
      </c>
      <c r="D223" s="38" t="n">
        <f aca="false">D78-D81-D82-D83-D84+D86-D89-D90-D91-D92</f>
        <v>0</v>
      </c>
      <c r="E223" s="38" t="n">
        <f aca="false">E78-E81-E82-E83-E84+E86-E89-E90-E91-E92</f>
        <v>0</v>
      </c>
      <c r="F223" s="38" t="n">
        <f aca="false">F78-F81-F82-F83-F84+F86-F89-F90-F91-F92</f>
        <v>0</v>
      </c>
      <c r="G223" s="38" t="n">
        <f aca="false">G78-G81-G82-G83-G84+G86-G89-G90-G91-G92</f>
        <v>0</v>
      </c>
      <c r="H223" s="38" t="n">
        <f aca="false">H78-H81-H82-H83-H84+H86-H89-H90-H91-H92</f>
        <v>0</v>
      </c>
      <c r="I223" s="38" t="n">
        <f aca="false">I78-I81-I82-I83-I84+I86-I89-I90-I91-I92</f>
        <v>0</v>
      </c>
      <c r="J223" s="38" t="n">
        <f aca="false">J78-J81-J82-J83-J84+J86-J89-J90-J91-J92</f>
        <v>0</v>
      </c>
      <c r="K223" s="38" t="n">
        <f aca="false">K78-K81-K82-K83-K84+K86-K89-K90-K91-K92</f>
        <v>0</v>
      </c>
      <c r="L223" s="38" t="n">
        <f aca="false">L78-L81-L82-L83-L84+L86-L89-L90-L91-L92</f>
        <v>0</v>
      </c>
      <c r="M223" s="38" t="n">
        <f aca="false">M78-M81-M82-M83-M84+M86-M89-M90-M91-M92</f>
        <v>0</v>
      </c>
      <c r="N223" s="38" t="n">
        <f aca="false">N78-N81-N82-N83-N84+N86-N89-N90-N91-N92</f>
        <v>0</v>
      </c>
      <c r="O223" s="38" t="n">
        <f aca="false">O78-O81-O82-O83-O84+O86-O89-O90-O91-O92</f>
        <v>0</v>
      </c>
      <c r="P223" s="38" t="n">
        <f aca="false">P78-P81-P82-P83-P84+P86-P89-P90-P91-P92</f>
        <v>2540.16</v>
      </c>
      <c r="Q223" s="38" t="n">
        <f aca="false">Q78-Q81-Q82-Q83-Q84+Q86-Q89-Q90-Q91-Q92</f>
        <v>2765.952</v>
      </c>
      <c r="R223" s="38" t="n">
        <f aca="false">R78-R81-R82-R83-R84+R86-R89-R90-R91-R92</f>
        <v>2935.296</v>
      </c>
      <c r="S223" s="38" t="n">
        <f aca="false">S78-S81-S82-S83-S84+S86-S89-S90-S91-S92</f>
        <v>3104.64</v>
      </c>
      <c r="T223" s="38" t="n">
        <f aca="false">T78-T81-T82-T83-T84+T86-T89-T90-T91-T92</f>
        <v>3273.984</v>
      </c>
      <c r="U223" s="38" t="n">
        <f aca="false">U78-U81-U82-U83-U84+U86-U89-U90-U91-U92</f>
        <v>3443.328</v>
      </c>
      <c r="V223" s="38" t="n">
        <f aca="false">V78-V81-V82-V83-V84+V86-V89-V90-V91-V92</f>
        <v>344.3328</v>
      </c>
      <c r="W223" s="38" t="n">
        <f aca="false">W78-W81-W82-W83-W84+W86-W89-W90-W91-W92</f>
        <v>344.3328</v>
      </c>
      <c r="X223" s="38" t="n">
        <f aca="false">X78-X81-X82-X83-X84+X86-X89-X90-X91-X92</f>
        <v>344.3328</v>
      </c>
      <c r="Y223" s="38" t="n">
        <f aca="false">Y78-Y81-Y82-Y83-Y84+Y86-Y89-Y90-Y91-Y92</f>
        <v>3443.328</v>
      </c>
      <c r="Z223" s="38" t="n">
        <f aca="false">Z78-Z81-Z82-Z83-Z84+Z86-Z89-Z90-Z91-Z92</f>
        <v>3443.328</v>
      </c>
      <c r="AA223" s="38" t="n">
        <f aca="false">AA78-AA81-AA82-AA83-AA84+AA86-AA89-AA90-AA91-AA92</f>
        <v>3443.328</v>
      </c>
    </row>
    <row r="224" customFormat="false" ht="15" hidden="false" customHeight="false" outlineLevel="0" collapsed="false">
      <c r="A224" s="3" t="s">
        <v>576</v>
      </c>
      <c r="B224" s="3" t="s">
        <v>62</v>
      </c>
      <c r="C224" s="60" t="n">
        <f aca="false">(C222+C223)*Assumptions!$C$108/30</f>
        <v>0</v>
      </c>
      <c r="D224" s="60" t="n">
        <f aca="false">(D222+D223)*Assumptions!$C$108/30</f>
        <v>439.32</v>
      </c>
      <c r="E224" s="60" t="n">
        <f aca="false">(E222+E223)*Assumptions!$C$108/30</f>
        <v>702.912</v>
      </c>
      <c r="F224" s="60" t="n">
        <f aca="false">(F222+F223)*Assumptions!$C$108/30</f>
        <v>1054.368</v>
      </c>
      <c r="G224" s="60" t="n">
        <f aca="false">(G222+G223)*Assumptions!$C$108/30</f>
        <v>1890</v>
      </c>
      <c r="H224" s="60" t="n">
        <f aca="false">(H222+H223)*Assumptions!$C$108/30</f>
        <v>2457</v>
      </c>
      <c r="I224" s="60" t="n">
        <f aca="false">(I222+I223)*Assumptions!$C$108/30</f>
        <v>3099.6</v>
      </c>
      <c r="J224" s="60" t="n">
        <f aca="false">(J222+J223)*Assumptions!$C$108/30</f>
        <v>4524.8</v>
      </c>
      <c r="K224" s="60" t="n">
        <f aca="false">(K222+K223)*Assumptions!$C$108/30</f>
        <v>5429.76</v>
      </c>
      <c r="L224" s="60" t="n">
        <f aca="false">(L222+L223)*Assumptions!$C$108/30</f>
        <v>6334.72</v>
      </c>
      <c r="M224" s="60" t="n">
        <f aca="false">(M222+M223)*Assumptions!$C$108/30</f>
        <v>7239.68</v>
      </c>
      <c r="N224" s="60" t="n">
        <f aca="false">(N222+N223)*Assumptions!$C$108/30</f>
        <v>8144.64</v>
      </c>
      <c r="O224" s="60" t="n">
        <f aca="false">(O222+O223)*Assumptions!$C$108/30</f>
        <v>9275.84</v>
      </c>
      <c r="P224" s="60" t="n">
        <f aca="false">(P222+P223)*Assumptions!$C$108/30</f>
        <v>12323.808</v>
      </c>
      <c r="Q224" s="60" t="n">
        <f aca="false">(Q222+Q223)*Assumptions!$C$108/30</f>
        <v>13419.2576</v>
      </c>
      <c r="R224" s="60" t="n">
        <f aca="false">(R222+R223)*Assumptions!$C$108/30</f>
        <v>14240.8448</v>
      </c>
      <c r="S224" s="60" t="n">
        <f aca="false">(S222+S223)*Assumptions!$C$108/30</f>
        <v>15062.432</v>
      </c>
      <c r="T224" s="60" t="n">
        <f aca="false">(T222+T223)*Assumptions!$C$108/30</f>
        <v>15884.0192</v>
      </c>
      <c r="U224" s="60" t="n">
        <f aca="false">(U222+U223)*Assumptions!$C$108/30</f>
        <v>16705.6064</v>
      </c>
      <c r="V224" s="60" t="n">
        <f aca="false">(V222+V223)*Assumptions!$C$108/30</f>
        <v>1656.46964</v>
      </c>
      <c r="W224" s="60" t="n">
        <f aca="false">(W222+W223)*Assumptions!$C$108/30</f>
        <v>1656.46964</v>
      </c>
      <c r="X224" s="60" t="n">
        <f aca="false">(X222+X223)*Assumptions!$C$108/30</f>
        <v>1656.46964</v>
      </c>
      <c r="Y224" s="60" t="n">
        <f aca="false">(Y222+Y223)*Assumptions!$C$108/30</f>
        <v>16564.6964</v>
      </c>
      <c r="Z224" s="60" t="n">
        <f aca="false">(Z222+Z223)*Assumptions!$C$108/30</f>
        <v>16564.6964</v>
      </c>
      <c r="AA224" s="60" t="n">
        <f aca="false">(AA222+AA223)*Assumptions!$C$108/30</f>
        <v>16564.6964</v>
      </c>
    </row>
    <row r="225" customFormat="false" ht="15" hidden="false" customHeight="false" outlineLevel="0" collapsed="false">
      <c r="A225" s="9" t="s">
        <v>577</v>
      </c>
      <c r="B225" s="3" t="s">
        <v>62</v>
      </c>
      <c r="C225" s="29" t="n">
        <f aca="false">0</f>
        <v>0</v>
      </c>
      <c r="D225" s="29" t="n">
        <f aca="false">D222+D223-D224+C224</f>
        <v>502.08</v>
      </c>
      <c r="E225" s="29" t="n">
        <f aca="false">E222+E223-E224+D224</f>
        <v>1242.648</v>
      </c>
      <c r="F225" s="29" t="n">
        <f aca="false">F222+F223-F224+E224</f>
        <v>1907.904</v>
      </c>
      <c r="G225" s="29" t="n">
        <f aca="false">G222+G223-G224+F224</f>
        <v>3214.368</v>
      </c>
      <c r="H225" s="29" t="n">
        <f aca="false">H222+H223-H224+G224</f>
        <v>4698</v>
      </c>
      <c r="I225" s="29" t="n">
        <f aca="false">I222+I223-I224+H224</f>
        <v>5999.4</v>
      </c>
      <c r="J225" s="29" t="n">
        <f aca="false">J222+J223-J224+I224</f>
        <v>8270.8</v>
      </c>
      <c r="K225" s="29" t="n">
        <f aca="false">K222+K223-K224+J224</f>
        <v>10730.24</v>
      </c>
      <c r="L225" s="29" t="n">
        <f aca="false">L222+L223-L224+K224</f>
        <v>12669.44</v>
      </c>
      <c r="M225" s="29" t="n">
        <f aca="false">M222+M223-M224+L224</f>
        <v>14608.64</v>
      </c>
      <c r="N225" s="29" t="n">
        <f aca="false">N222+N223-N224+M224</f>
        <v>16547.84</v>
      </c>
      <c r="O225" s="29" t="n">
        <f aca="false">O222+O223-O224+N224</f>
        <v>18745.6</v>
      </c>
      <c r="P225" s="29" t="n">
        <f aca="false">P222+P223-P224+O224</f>
        <v>23360.192</v>
      </c>
      <c r="Q225" s="29" t="n">
        <f aca="false">Q222+Q223-Q224+P224</f>
        <v>27660.1024</v>
      </c>
      <c r="R225" s="29" t="n">
        <f aca="false">R222+R223-R224+Q224</f>
        <v>29694.5088</v>
      </c>
      <c r="S225" s="29" t="n">
        <f aca="false">S222+S223-S224+R224</f>
        <v>31455.0528</v>
      </c>
      <c r="T225" s="29" t="n">
        <f aca="false">T222+T223-T224+S224</f>
        <v>33215.5968</v>
      </c>
      <c r="U225" s="29" t="n">
        <f aca="false">U222+U223-U224+T224</f>
        <v>34976.1408</v>
      </c>
      <c r="V225" s="29" t="n">
        <f aca="false">V222+V223-V224+U224</f>
        <v>18598.71456</v>
      </c>
      <c r="W225" s="29" t="n">
        <f aca="false">W222+W223-W224+V224</f>
        <v>3549.5778</v>
      </c>
      <c r="X225" s="29" t="n">
        <f aca="false">X222+X223-X224+W224</f>
        <v>3549.5778</v>
      </c>
      <c r="Y225" s="29" t="n">
        <f aca="false">Y222+Y223-Y224+X224</f>
        <v>20587.55124</v>
      </c>
      <c r="Z225" s="29" t="n">
        <f aca="false">Z222+Z223-Z224+Y224</f>
        <v>35495.778</v>
      </c>
      <c r="AA225" s="29" t="n">
        <f aca="false">AA222+AA223-AA224+Z224</f>
        <v>35495.778</v>
      </c>
    </row>
    <row r="226" customFormat="false" ht="15" hidden="false" customHeight="false" outlineLevel="0" collapsed="false">
      <c r="A226" s="3" t="s">
        <v>578</v>
      </c>
      <c r="B226" s="3" t="s">
        <v>62</v>
      </c>
      <c r="C226" s="38" t="n">
        <f aca="false">0</f>
        <v>0</v>
      </c>
      <c r="D226" s="38" t="n">
        <f aca="false">D59+D60+D61+D62</f>
        <v>10389.99</v>
      </c>
      <c r="E226" s="38" t="n">
        <f aca="false">E59+E60+E61+E62</f>
        <v>889.99</v>
      </c>
      <c r="F226" s="38" t="n">
        <f aca="false">F59+F60+F61+F62</f>
        <v>889.99</v>
      </c>
      <c r="G226" s="38" t="n">
        <f aca="false">G59+G60+G61+G62</f>
        <v>889.99</v>
      </c>
      <c r="H226" s="38" t="n">
        <f aca="false">H59+H60+H61+H62</f>
        <v>889.99</v>
      </c>
      <c r="I226" s="38" t="n">
        <f aca="false">I59+I60+I61+I62</f>
        <v>889.99</v>
      </c>
      <c r="J226" s="38" t="n">
        <f aca="false">J59+J60+J61+J62</f>
        <v>889.99</v>
      </c>
      <c r="K226" s="38" t="n">
        <f aca="false">K59+K60+K61+K62</f>
        <v>889.99</v>
      </c>
      <c r="L226" s="38" t="n">
        <f aca="false">L59+L60+L61+L62</f>
        <v>889.99</v>
      </c>
      <c r="M226" s="38" t="n">
        <f aca="false">M59+M60+M61+M62</f>
        <v>889.99</v>
      </c>
      <c r="N226" s="38" t="n">
        <f aca="false">N59+N60+N61+N62</f>
        <v>889.99</v>
      </c>
      <c r="O226" s="38" t="n">
        <f aca="false">O59+O60+O61+O62</f>
        <v>889.99</v>
      </c>
      <c r="P226" s="38" t="n">
        <f aca="false">P59+P60+P61+P62</f>
        <v>889.99</v>
      </c>
      <c r="Q226" s="38" t="n">
        <f aca="false">Q59+Q60+Q61+Q62</f>
        <v>889.99</v>
      </c>
      <c r="R226" s="38" t="n">
        <f aca="false">R59+R60+R61+R62</f>
        <v>889.99</v>
      </c>
      <c r="S226" s="38" t="n">
        <f aca="false">S59+S60+S61+S62</f>
        <v>889.99</v>
      </c>
      <c r="T226" s="38" t="n">
        <f aca="false">T59+T60+T61+T62</f>
        <v>889.99</v>
      </c>
      <c r="U226" s="38" t="n">
        <f aca="false">U59+U60+U61+U62</f>
        <v>889.99</v>
      </c>
      <c r="V226" s="38" t="n">
        <f aca="false">V59+V60+V61+V62</f>
        <v>1666.65666666667</v>
      </c>
      <c r="W226" s="38" t="n">
        <f aca="false">W59+W60+W61+W62</f>
        <v>1666.65666666667</v>
      </c>
      <c r="X226" s="38" t="n">
        <f aca="false">X59+X60+X61+X62</f>
        <v>1666.65666666667</v>
      </c>
      <c r="Y226" s="38" t="n">
        <f aca="false">Y59+Y60+Y61+Y62</f>
        <v>1666.65666666667</v>
      </c>
      <c r="Z226" s="38" t="n">
        <f aca="false">Z59+Z60+Z61+Z62</f>
        <v>1666.65666666667</v>
      </c>
      <c r="AA226" s="38" t="n">
        <f aca="false">AA59+AA60+AA61+AA62</f>
        <v>1666.65666666667</v>
      </c>
    </row>
    <row r="227" customFormat="false" ht="15" hidden="false" customHeight="false" outlineLevel="0" collapsed="false">
      <c r="A227" s="9" t="s">
        <v>579</v>
      </c>
      <c r="B227" s="3" t="s">
        <v>62</v>
      </c>
      <c r="C227" s="29" t="n">
        <f aca="false">C221+C226</f>
        <v>5534.47552447553</v>
      </c>
      <c r="D227" s="29" t="n">
        <f aca="false">D221+D226</f>
        <v>19988.4417482517</v>
      </c>
      <c r="E227" s="29" t="n">
        <f aca="false">E221+E226</f>
        <v>8015.27867132867</v>
      </c>
      <c r="F227" s="29" t="n">
        <f aca="false">F221+F226</f>
        <v>9726.23447552448</v>
      </c>
      <c r="G227" s="29" t="n">
        <f aca="false">G221+G226</f>
        <v>11579.5060839161</v>
      </c>
      <c r="H227" s="29" t="n">
        <f aca="false">H221+H226</f>
        <v>13540.3060839161</v>
      </c>
      <c r="I227" s="29" t="n">
        <f aca="false">I221+I226</f>
        <v>15501.1060839161</v>
      </c>
      <c r="J227" s="29" t="n">
        <f aca="false">J221+J226</f>
        <v>17461.9060839161</v>
      </c>
      <c r="K227" s="29" t="n">
        <f aca="false">K221+K226</f>
        <v>19644.0851048951</v>
      </c>
      <c r="L227" s="29" t="n">
        <f aca="false">L221+L226</f>
        <v>22670.6705594406</v>
      </c>
      <c r="M227" s="29" t="n">
        <f aca="false">M221+M226</f>
        <v>25670.0673706294</v>
      </c>
      <c r="N227" s="29" t="n">
        <f aca="false">N221+N226</f>
        <v>27548.642027972</v>
      </c>
      <c r="O227" s="29" t="n">
        <f aca="false">O221+O226</f>
        <v>29136.890027972</v>
      </c>
      <c r="P227" s="29" t="n">
        <f aca="false">P221+P226</f>
        <v>30725.138027972</v>
      </c>
      <c r="Q227" s="29" t="n">
        <f aca="false">Q221+Q226</f>
        <v>32313.386027972</v>
      </c>
      <c r="R227" s="29" t="n">
        <f aca="false">R221+R226</f>
        <v>20058.3610881119</v>
      </c>
      <c r="S227" s="29" t="n">
        <f aca="false">S221+S226</f>
        <v>4119.4276</v>
      </c>
      <c r="T227" s="29" t="n">
        <f aca="false">T221+T226</f>
        <v>4119.42759999999</v>
      </c>
      <c r="U227" s="29" t="n">
        <f aca="false">U221+U226</f>
        <v>17245.4325118881</v>
      </c>
      <c r="V227" s="29" t="n">
        <f aca="false">V221+V226</f>
        <v>33961.0326666667</v>
      </c>
      <c r="W227" s="29" t="n">
        <f aca="false">W221+W226</f>
        <v>33961.0326666667</v>
      </c>
      <c r="X227" s="29" t="n">
        <f aca="false">X221+X226</f>
        <v>35419.4776568765</v>
      </c>
      <c r="Y227" s="29" t="n">
        <f aca="false">Y221+Y226</f>
        <v>37190.4702666667</v>
      </c>
      <c r="Z227" s="29" t="n">
        <f aca="false">Z221+Z226</f>
        <v>37190.4702666667</v>
      </c>
      <c r="AA227" s="29" t="n">
        <f aca="false">AA221+AA226</f>
        <v>37190.4702666667</v>
      </c>
    </row>
    <row r="228" customFormat="false" ht="15" hidden="false" customHeight="false" outlineLevel="0" collapsed="false">
      <c r="A228" s="9" t="s">
        <v>580</v>
      </c>
      <c r="B228" s="3" t="s">
        <v>62</v>
      </c>
      <c r="C228" s="29" t="n">
        <f aca="false">C225-C227</f>
        <v>-5534.47552447553</v>
      </c>
      <c r="D228" s="29" t="n">
        <f aca="false">D225-D227</f>
        <v>-19486.3617482517</v>
      </c>
      <c r="E228" s="29" t="n">
        <f aca="false">E225-E227</f>
        <v>-6772.63067132867</v>
      </c>
      <c r="F228" s="29" t="n">
        <f aca="false">F225-F227</f>
        <v>-7818.33047552448</v>
      </c>
      <c r="G228" s="29" t="n">
        <f aca="false">G225-G227</f>
        <v>-8365.13808391609</v>
      </c>
      <c r="H228" s="29" t="n">
        <f aca="false">H225-H227</f>
        <v>-8842.30608391608</v>
      </c>
      <c r="I228" s="29" t="n">
        <f aca="false">I225-I227</f>
        <v>-9501.70608391608</v>
      </c>
      <c r="J228" s="29" t="n">
        <f aca="false">J225-J227</f>
        <v>-9191.10608391609</v>
      </c>
      <c r="K228" s="29" t="n">
        <f aca="false">K225-K227</f>
        <v>-8913.84510489511</v>
      </c>
      <c r="L228" s="29" t="n">
        <f aca="false">L225-L227</f>
        <v>-10001.2305594406</v>
      </c>
      <c r="M228" s="29" t="n">
        <f aca="false">M225-M227</f>
        <v>-11061.4273706294</v>
      </c>
      <c r="N228" s="29" t="n">
        <f aca="false">N225-N227</f>
        <v>-11000.802027972</v>
      </c>
      <c r="O228" s="29" t="n">
        <f aca="false">O225-O227</f>
        <v>-10391.290027972</v>
      </c>
      <c r="P228" s="29" t="n">
        <f aca="false">P225-P227</f>
        <v>-7364.94602797203</v>
      </c>
      <c r="Q228" s="29" t="n">
        <f aca="false">Q225-Q227</f>
        <v>-4653.28362797204</v>
      </c>
      <c r="R228" s="29" t="n">
        <f aca="false">R225-R227</f>
        <v>9636.14771188811</v>
      </c>
      <c r="S228" s="29" t="n">
        <f aca="false">S225-S227</f>
        <v>27335.6252</v>
      </c>
      <c r="T228" s="29" t="n">
        <f aca="false">T225-T227</f>
        <v>29096.1692</v>
      </c>
      <c r="U228" s="29" t="n">
        <f aca="false">U225-U227</f>
        <v>17730.7082881119</v>
      </c>
      <c r="V228" s="29" t="n">
        <f aca="false">V225-V227</f>
        <v>-15362.3181066667</v>
      </c>
      <c r="W228" s="29" t="n">
        <f aca="false">W225-W227</f>
        <v>-30411.4548666667</v>
      </c>
      <c r="X228" s="29" t="n">
        <f aca="false">X225-X227</f>
        <v>-31869.8998568765</v>
      </c>
      <c r="Y228" s="29" t="n">
        <f aca="false">Y225-Y227</f>
        <v>-16602.9190266667</v>
      </c>
      <c r="Z228" s="29" t="n">
        <f aca="false">Z225-Z227</f>
        <v>-1694.69226666667</v>
      </c>
      <c r="AA228" s="29" t="n">
        <f aca="false">AA225-AA227</f>
        <v>-1694.69226666666</v>
      </c>
    </row>
    <row r="229" customFormat="false" ht="15" hidden="false" customHeight="false" outlineLevel="0" collapsed="false">
      <c r="A229" s="9" t="s">
        <v>581</v>
      </c>
      <c r="B229" s="3" t="s">
        <v>62</v>
      </c>
      <c r="C229" s="61" t="n">
        <f aca="false">Assumptions!$C$106+C228</f>
        <v>33465.5244755245</v>
      </c>
      <c r="D229" s="29" t="n">
        <f aca="false">C229+D228</f>
        <v>13979.1627272727</v>
      </c>
      <c r="E229" s="29" t="n">
        <f aca="false">D229+E228</f>
        <v>7206.53205594406</v>
      </c>
      <c r="F229" s="29" t="n">
        <f aca="false">E229+F228</f>
        <v>-611.798419580417</v>
      </c>
      <c r="G229" s="29" t="n">
        <f aca="false">F229+G228</f>
        <v>-8976.9365034965</v>
      </c>
      <c r="H229" s="29" t="n">
        <f aca="false">G229+H228</f>
        <v>-17819.2425874126</v>
      </c>
      <c r="I229" s="29" t="n">
        <f aca="false">H229+I228</f>
        <v>-27320.9486713287</v>
      </c>
      <c r="J229" s="29" t="n">
        <f aca="false">I229+J228</f>
        <v>-36512.0547552448</v>
      </c>
      <c r="K229" s="29" t="n">
        <f aca="false">J229+K228</f>
        <v>-45425.8998601399</v>
      </c>
      <c r="L229" s="29" t="n">
        <f aca="false">K229+L228</f>
        <v>-55427.1304195804</v>
      </c>
      <c r="M229" s="29" t="n">
        <f aca="false">L229+M228</f>
        <v>-66488.5577902098</v>
      </c>
      <c r="N229" s="29" t="n">
        <f aca="false">M229+N228</f>
        <v>-77489.3598181818</v>
      </c>
      <c r="O229" s="29" t="n">
        <f aca="false">N229+O228</f>
        <v>-87880.6498461539</v>
      </c>
      <c r="P229" s="29" t="n">
        <f aca="false">O229+P228</f>
        <v>-95245.5958741259</v>
      </c>
      <c r="Q229" s="29" t="n">
        <f aca="false">P229+Q228</f>
        <v>-99898.8795020979</v>
      </c>
      <c r="R229" s="29" t="n">
        <f aca="false">Q229+R228</f>
        <v>-90262.7317902098</v>
      </c>
      <c r="S229" s="29" t="n">
        <f aca="false">R229+S228</f>
        <v>-62927.1065902098</v>
      </c>
      <c r="T229" s="29" t="n">
        <f aca="false">S229+T228</f>
        <v>-33830.9373902098</v>
      </c>
      <c r="U229" s="29" t="n">
        <f aca="false">T229+U228</f>
        <v>-16100.2291020979</v>
      </c>
      <c r="V229" s="29" t="n">
        <f aca="false">U229+V228</f>
        <v>-31462.5472087646</v>
      </c>
      <c r="W229" s="29" t="n">
        <f aca="false">V229+W228</f>
        <v>-61874.0020754313</v>
      </c>
      <c r="X229" s="29" t="n">
        <f aca="false">W229+X228</f>
        <v>-93743.9019323078</v>
      </c>
      <c r="Y229" s="29" t="n">
        <f aca="false">X229+Y228</f>
        <v>-110346.820958974</v>
      </c>
      <c r="Z229" s="29" t="n">
        <f aca="false">Y229+Z228</f>
        <v>-112041.513225641</v>
      </c>
      <c r="AA229" s="29" t="n">
        <f aca="false">Z229+AA228</f>
        <v>-113736.205492308</v>
      </c>
    </row>
    <row r="230" customFormat="false" ht="15" hidden="false" customHeight="false" outlineLevel="0" collapsed="false">
      <c r="A230" s="3" t="s">
        <v>582</v>
      </c>
      <c r="B230" s="3" t="s">
        <v>471</v>
      </c>
      <c r="C230" s="30" t="n">
        <f aca="false">IF(C229&lt;0,1,0)</f>
        <v>0</v>
      </c>
      <c r="D230" s="30" t="n">
        <f aca="false">IF(D229&lt;0,1,0)</f>
        <v>0</v>
      </c>
      <c r="E230" s="30" t="n">
        <f aca="false">IF(E229&lt;0,1,0)</f>
        <v>0</v>
      </c>
      <c r="F230" s="30" t="n">
        <f aca="false">IF(F229&lt;0,1,0)</f>
        <v>1</v>
      </c>
      <c r="G230" s="30" t="n">
        <f aca="false">IF(G229&lt;0,1,0)</f>
        <v>1</v>
      </c>
      <c r="H230" s="30" t="n">
        <f aca="false">IF(H229&lt;0,1,0)</f>
        <v>1</v>
      </c>
      <c r="I230" s="30" t="n">
        <f aca="false">IF(I229&lt;0,1,0)</f>
        <v>1</v>
      </c>
      <c r="J230" s="30" t="n">
        <f aca="false">IF(J229&lt;0,1,0)</f>
        <v>1</v>
      </c>
      <c r="K230" s="30" t="n">
        <f aca="false">IF(K229&lt;0,1,0)</f>
        <v>1</v>
      </c>
      <c r="L230" s="30" t="n">
        <f aca="false">IF(L229&lt;0,1,0)</f>
        <v>1</v>
      </c>
      <c r="M230" s="30" t="n">
        <f aca="false">IF(M229&lt;0,1,0)</f>
        <v>1</v>
      </c>
      <c r="N230" s="30" t="n">
        <f aca="false">IF(N229&lt;0,1,0)</f>
        <v>1</v>
      </c>
      <c r="O230" s="30" t="n">
        <f aca="false">IF(O229&lt;0,1,0)</f>
        <v>1</v>
      </c>
      <c r="P230" s="30" t="n">
        <f aca="false">IF(P229&lt;0,1,0)</f>
        <v>1</v>
      </c>
      <c r="Q230" s="30" t="n">
        <f aca="false">IF(Q229&lt;0,1,0)</f>
        <v>1</v>
      </c>
      <c r="R230" s="30" t="n">
        <f aca="false">IF(R229&lt;0,1,0)</f>
        <v>1</v>
      </c>
      <c r="S230" s="30" t="n">
        <f aca="false">IF(S229&lt;0,1,0)</f>
        <v>1</v>
      </c>
      <c r="T230" s="30" t="n">
        <f aca="false">IF(T229&lt;0,1,0)</f>
        <v>1</v>
      </c>
      <c r="U230" s="30" t="n">
        <f aca="false">IF(U229&lt;0,1,0)</f>
        <v>1</v>
      </c>
      <c r="V230" s="30" t="n">
        <f aca="false">IF(V229&lt;0,1,0)</f>
        <v>1</v>
      </c>
      <c r="W230" s="30" t="n">
        <f aca="false">IF(W229&lt;0,1,0)</f>
        <v>1</v>
      </c>
      <c r="X230" s="30" t="n">
        <f aca="false">IF(X229&lt;0,1,0)</f>
        <v>1</v>
      </c>
      <c r="Y230" s="30" t="n">
        <f aca="false">IF(Y229&lt;0,1,0)</f>
        <v>1</v>
      </c>
      <c r="Z230" s="30" t="n">
        <f aca="false">IF(Z229&lt;0,1,0)</f>
        <v>1</v>
      </c>
      <c r="AA230" s="30" t="n">
        <f aca="false">IF(AA229&lt;0,1,0)</f>
        <v>1</v>
      </c>
    </row>
    <row r="232" customFormat="false" ht="15" hidden="false" customHeight="false" outlineLevel="0" collapsed="false">
      <c r="A232" s="9" t="s">
        <v>583</v>
      </c>
    </row>
    <row r="233" customFormat="false" ht="15" hidden="false" customHeight="false" outlineLevel="0" collapsed="false">
      <c r="A233" s="3" t="s">
        <v>584</v>
      </c>
      <c r="B233" s="3" t="s">
        <v>62</v>
      </c>
      <c r="C233" s="38" t="n">
        <f aca="false">0</f>
        <v>0</v>
      </c>
      <c r="D233" s="38" t="n">
        <f aca="false">D210*D204</f>
        <v>10784.4</v>
      </c>
      <c r="E233" s="38" t="n">
        <f aca="false">E210*E204</f>
        <v>14804.04</v>
      </c>
      <c r="F233" s="38" t="n">
        <f aca="false">F210*F204</f>
        <v>19313.88</v>
      </c>
      <c r="G233" s="38" t="n">
        <f aca="false">G210*G204</f>
        <v>24215.88</v>
      </c>
      <c r="H233" s="38" t="n">
        <f aca="false">H210*H204</f>
        <v>29608.08</v>
      </c>
      <c r="I233" s="38" t="n">
        <f aca="false">I210*I204</f>
        <v>35294.4</v>
      </c>
      <c r="J233" s="38" t="n">
        <f aca="false">J210*J204</f>
        <v>41176.8</v>
      </c>
      <c r="K233" s="38" t="n">
        <f aca="false">K210*K204</f>
        <v>47059.2</v>
      </c>
      <c r="L233" s="38" t="n">
        <f aca="false">L210*L204</f>
        <v>53431.8</v>
      </c>
      <c r="M233" s="38" t="n">
        <f aca="false">M210*M204</f>
        <v>61569.12</v>
      </c>
      <c r="N233" s="38" t="n">
        <f aca="false">N210*N204</f>
        <v>69863.304</v>
      </c>
      <c r="O233" s="38" t="n">
        <f aca="false">O210*O204</f>
        <v>77294.736</v>
      </c>
      <c r="P233" s="38" t="n">
        <f aca="false">P210*P204</f>
        <v>82588.896</v>
      </c>
      <c r="Q233" s="38" t="n">
        <f aca="false">Q210*Q204</f>
        <v>87353.64</v>
      </c>
      <c r="R233" s="38" t="n">
        <f aca="false">R210*R204</f>
        <v>92118.384</v>
      </c>
      <c r="S233" s="38" t="n">
        <f aca="false">S210*S204</f>
        <v>66229.9416</v>
      </c>
      <c r="T233" s="38" t="n">
        <f aca="false">T210*T204</f>
        <v>38753.2512</v>
      </c>
      <c r="U233" s="38" t="n">
        <f aca="false">U210*U204</f>
        <v>9688.3128</v>
      </c>
      <c r="V233" s="38" t="n">
        <f aca="false">V210*V204</f>
        <v>38753.2512</v>
      </c>
      <c r="W233" s="38" t="n">
        <f aca="false">W210*W204</f>
        <v>67818.1896</v>
      </c>
      <c r="X233" s="38" t="n">
        <f aca="false">X210*X204</f>
        <v>96883.128</v>
      </c>
      <c r="Y233" s="38" t="n">
        <f aca="false">Y210*Y204</f>
        <v>100112.5656</v>
      </c>
      <c r="Z233" s="38" t="n">
        <f aca="false">Z210*Z204</f>
        <v>103342.0032</v>
      </c>
      <c r="AA233" s="38" t="n">
        <f aca="false">AA210*AA204</f>
        <v>106571.4408</v>
      </c>
    </row>
    <row r="234" customFormat="false" ht="15" hidden="false" customHeight="false" outlineLevel="0" collapsed="false">
      <c r="A234" s="3" t="s">
        <v>585</v>
      </c>
      <c r="B234" s="3" t="s">
        <v>62</v>
      </c>
      <c r="C234" s="60" t="n">
        <f aca="false">SUMPRODUCT($D$214:$AC$214*(($D$212:$AC$212&lt;=C$201)*(C$201&lt;$D$213:$AC$213)*Assumptions!$C$107+($D$213:$AC$213&lt;=C$201)*(C$201&lt;$D$201:$AC$201)))</f>
        <v>5534.47552447553</v>
      </c>
      <c r="D234" s="60" t="n">
        <f aca="false">SUMPRODUCT($D$214:$AC$214*(($D$212:$AC$212&lt;=D$201)*(D$201&lt;$D$213:$AC$213)*Assumptions!$C$107+($D$213:$AC$213&lt;=D$201)*(D$201&lt;$D$201:$AC$201)))</f>
        <v>2877.92727272727</v>
      </c>
      <c r="E234" s="60" t="n">
        <f aca="false">SUMPRODUCT($D$214:$AC$214*(($D$212:$AC$212&lt;=E$201)*(E$201&lt;$D$213:$AC$213)*Assumptions!$C$107+($D$213:$AC$213&lt;=E$201)*(E$201&lt;$D$201:$AC$201)))</f>
        <v>3630.61594405594</v>
      </c>
      <c r="F234" s="60" t="n">
        <f aca="false">SUMPRODUCT($D$214:$AC$214*(($D$212:$AC$212&lt;=F$201)*(F$201&lt;$D$213:$AC$213)*Assumptions!$C$107+($D$213:$AC$213&lt;=F$201)*(F$201&lt;$D$201:$AC$201)))</f>
        <v>4427.58041958042</v>
      </c>
      <c r="G234" s="60" t="n">
        <f aca="false">SUMPRODUCT($D$214:$AC$214*(($D$212:$AC$212&lt;=G$201)*(G$201&lt;$D$213:$AC$213)*Assumptions!$C$107+($D$213:$AC$213&lt;=G$201)*(G$201&lt;$D$201:$AC$201)))</f>
        <v>5313.09650349651</v>
      </c>
      <c r="H234" s="60" t="n">
        <f aca="false">SUMPRODUCT($D$214:$AC$214*(($D$212:$AC$212&lt;=H$201)*(H$201&lt;$D$213:$AC$213)*Assumptions!$C$107+($D$213:$AC$213&lt;=H$201)*(H$201&lt;$D$201:$AC$201)))</f>
        <v>6198.61258741259</v>
      </c>
      <c r="I234" s="60" t="n">
        <f aca="false">SUMPRODUCT($D$214:$AC$214*(($D$212:$AC$212&lt;=I$201)*(I$201&lt;$D$213:$AC$213)*Assumptions!$C$107+($D$213:$AC$213&lt;=I$201)*(I$201&lt;$D$201:$AC$201)))</f>
        <v>7084.12867132867</v>
      </c>
      <c r="J234" s="60" t="n">
        <f aca="false">SUMPRODUCT($D$214:$AC$214*(($D$212:$AC$212&lt;=J$201)*(J$201&lt;$D$213:$AC$213)*Assumptions!$C$107+($D$213:$AC$213&lt;=J$201)*(J$201&lt;$D$201:$AC$201)))</f>
        <v>7969.64475524476</v>
      </c>
      <c r="K234" s="60" t="n">
        <f aca="false">SUMPRODUCT($D$214:$AC$214*(($D$212:$AC$212&lt;=K$201)*(K$201&lt;$D$213:$AC$213)*Assumptions!$C$107+($D$213:$AC$213&lt;=K$201)*(K$201&lt;$D$201:$AC$201)))</f>
        <v>9076.53986013986</v>
      </c>
      <c r="L234" s="60" t="n">
        <f aca="false">SUMPRODUCT($D$214:$AC$214*(($D$212:$AC$212&lt;=L$201)*(L$201&lt;$D$213:$AC$213)*Assumptions!$C$107+($D$213:$AC$213&lt;=L$201)*(L$201&lt;$D$201:$AC$201)))</f>
        <v>10759.0204195804</v>
      </c>
      <c r="M234" s="60" t="n">
        <f aca="false">SUMPRODUCT($D$214:$AC$214*(($D$212:$AC$212&lt;=M$201)*(M$201&lt;$D$213:$AC$213)*Assumptions!$C$107+($D$213:$AC$213&lt;=M$201)*(M$201&lt;$D$201:$AC$201)))</f>
        <v>11715.3777902098</v>
      </c>
      <c r="N234" s="60" t="n">
        <f aca="false">SUMPRODUCT($D$214:$AC$214*(($D$212:$AC$212&lt;=N$201)*(N$201&lt;$D$213:$AC$213)*Assumptions!$C$107+($D$213:$AC$213&lt;=N$201)*(N$201&lt;$D$201:$AC$201)))</f>
        <v>12432.6458181818</v>
      </c>
      <c r="O234" s="60" t="n">
        <f aca="false">SUMPRODUCT($D$214:$AC$214*(($D$212:$AC$212&lt;=O$201)*(O$201&lt;$D$213:$AC$213)*Assumptions!$C$107+($D$213:$AC$213&lt;=O$201)*(O$201&lt;$D$201:$AC$201)))</f>
        <v>13149.9138461538</v>
      </c>
      <c r="P234" s="60" t="n">
        <f aca="false">SUMPRODUCT($D$214:$AC$214*(($D$212:$AC$212&lt;=P$201)*(P$201&lt;$D$213:$AC$213)*Assumptions!$C$107+($D$213:$AC$213&lt;=P$201)*(P$201&lt;$D$201:$AC$201)))</f>
        <v>13867.1818741259</v>
      </c>
      <c r="Q234" s="60" t="n">
        <f aca="false">SUMPRODUCT($D$214:$AC$214*(($D$212:$AC$212&lt;=Q$201)*(Q$201&lt;$D$213:$AC$213)*Assumptions!$C$107+($D$213:$AC$213&lt;=Q$201)*(Q$201&lt;$D$201:$AC$201)))</f>
        <v>14584.4499020979</v>
      </c>
      <c r="R234" s="60" t="n">
        <f aca="false">SUMPRODUCT($D$214:$AC$214*(($D$212:$AC$212&lt;=R$201)*(R$201&lt;$D$213:$AC$213)*Assumptions!$C$107+($D$213:$AC$213&lt;=R$201)*(R$201&lt;$D$201:$AC$201)))</f>
        <v>1458.44499020979</v>
      </c>
      <c r="S234" s="60" t="n">
        <f aca="false">SUMPRODUCT($D$214:$AC$214*(($D$212:$AC$212&lt;=S$201)*(S$201&lt;$D$213:$AC$213)*Assumptions!$C$107+($D$213:$AC$213&lt;=S$201)*(S$201&lt;$D$201:$AC$201)))</f>
        <v>1458.44499020979</v>
      </c>
      <c r="T234" s="60" t="n">
        <f aca="false">SUMPRODUCT($D$214:$AC$214*(($D$212:$AC$212&lt;=T$201)*(T$201&lt;$D$213:$AC$213)*Assumptions!$C$107+($D$213:$AC$213&lt;=T$201)*(T$201&lt;$D$201:$AC$201)))</f>
        <v>1458.44499020979</v>
      </c>
      <c r="U234" s="60" t="n">
        <f aca="false">SUMPRODUCT($D$214:$AC$214*(($D$212:$AC$212&lt;=U$201)*(U$201&lt;$D$213:$AC$213)*Assumptions!$C$107+($D$213:$AC$213&lt;=U$201)*(U$201&lt;$D$201:$AC$201)))</f>
        <v>14584.4499020979</v>
      </c>
      <c r="V234" s="60" t="n">
        <f aca="false">SUMPRODUCT($D$214:$AC$214*(($D$212:$AC$212&lt;=V$201)*(V$201&lt;$D$213:$AC$213)*Assumptions!$C$107+($D$213:$AC$213&lt;=V$201)*(V$201&lt;$D$201:$AC$201)))</f>
        <v>14584.4499020979</v>
      </c>
      <c r="W234" s="60" t="n">
        <f aca="false">SUMPRODUCT($D$214:$AC$214*(($D$212:$AC$212&lt;=W$201)*(W$201&lt;$D$213:$AC$213)*Assumptions!$C$107+($D$213:$AC$213&lt;=W$201)*(W$201&lt;$D$201:$AC$201)))</f>
        <v>14584.4499020979</v>
      </c>
      <c r="X234" s="60" t="n">
        <f aca="false">SUMPRODUCT($D$214:$AC$214*(($D$212:$AC$212&lt;=X$201)*(X$201&lt;$D$213:$AC$213)*Assumptions!$C$107+($D$213:$AC$213&lt;=X$201)*(X$201&lt;$D$201:$AC$201)))</f>
        <v>16042.8948923077</v>
      </c>
      <c r="Y234" s="60" t="n">
        <f aca="false">SUMPRODUCT($D$214:$AC$214*(($D$212:$AC$212&lt;=Y$201)*(Y$201&lt;$D$213:$AC$213)*Assumptions!$C$107+($D$213:$AC$213&lt;=Y$201)*(Y$201&lt;$D$201:$AC$201)))</f>
        <v>16042.8948923077</v>
      </c>
      <c r="Z234" s="60" t="n">
        <f aca="false">SUMPRODUCT($D$214:$AC$214*(($D$212:$AC$212&lt;=Z$201)*(Z$201&lt;$D$213:$AC$213)*Assumptions!$C$107+($D$213:$AC$213&lt;=Z$201)*(Z$201&lt;$D$201:$AC$201)))</f>
        <v>16042.8948923077</v>
      </c>
      <c r="AA234" s="60" t="n">
        <f aca="false">SUMPRODUCT($D$214:$AC$214*(($D$212:$AC$212&lt;=AA$201)*(AA$201&lt;$D$213:$AC$213)*Assumptions!$C$107+($D$213:$AC$213&lt;=AA$201)*(AA$201&lt;$D$201:$AC$201)))</f>
        <v>16042.8948923077</v>
      </c>
    </row>
    <row r="235" customFormat="false" ht="15" hidden="false" customHeight="false" outlineLevel="0" collapsed="false">
      <c r="A235" s="3" t="s">
        <v>586</v>
      </c>
      <c r="B235" s="3" t="s">
        <v>62</v>
      </c>
      <c r="C235" s="38" t="n">
        <f aca="false">0</f>
        <v>0</v>
      </c>
      <c r="D235" s="38" t="n">
        <f aca="false">D97</f>
        <v>-10919.19</v>
      </c>
      <c r="E235" s="38" t="n">
        <f aca="false">E97</f>
        <v>-1736.71</v>
      </c>
      <c r="F235" s="38" t="n">
        <f aca="false">F97</f>
        <v>-2160.07</v>
      </c>
      <c r="G235" s="38" t="n">
        <f aca="false">G97</f>
        <v>-1741.99</v>
      </c>
      <c r="H235" s="38" t="n">
        <f aca="false">H97</f>
        <v>-1997.59</v>
      </c>
      <c r="I235" s="38" t="n">
        <f aca="false">I97</f>
        <v>-2287.27</v>
      </c>
      <c r="J235" s="38" t="n">
        <f aca="false">J97</f>
        <v>-997.99</v>
      </c>
      <c r="K235" s="38" t="n">
        <f aca="false">K97</f>
        <v>-1019.59</v>
      </c>
      <c r="L235" s="38" t="n">
        <f aca="false">L97</f>
        <v>-1041.19</v>
      </c>
      <c r="M235" s="38" t="n">
        <f aca="false">M97</f>
        <v>-1062.79</v>
      </c>
      <c r="N235" s="38" t="n">
        <f aca="false">N97</f>
        <v>-1084.39</v>
      </c>
      <c r="O235" s="38" t="n">
        <f aca="false">O97</f>
        <v>-1111.39</v>
      </c>
      <c r="P235" s="38" t="n">
        <f aca="false">P97</f>
        <v>1694.45</v>
      </c>
      <c r="Q235" s="38" t="n">
        <f aca="false">Q97</f>
        <v>1924.178</v>
      </c>
      <c r="R235" s="38" t="n">
        <f aca="false">R97</f>
        <v>2096.47400000001</v>
      </c>
      <c r="S235" s="38" t="n">
        <f aca="false">S97</f>
        <v>2268.77</v>
      </c>
      <c r="T235" s="38" t="n">
        <f aca="false">T97</f>
        <v>2441.066</v>
      </c>
      <c r="U235" s="38" t="n">
        <f aca="false">U97</f>
        <v>2613.362</v>
      </c>
      <c r="V235" s="38" t="n">
        <f aca="false">V97</f>
        <v>-1346.51646666667</v>
      </c>
      <c r="W235" s="38" t="n">
        <f aca="false">W97</f>
        <v>-1346.51646666667</v>
      </c>
      <c r="X235" s="38" t="n">
        <f aca="false">X97</f>
        <v>-1346.51646666667</v>
      </c>
      <c r="Y235" s="38" t="n">
        <f aca="false">Y97</f>
        <v>1534.74533333334</v>
      </c>
      <c r="Z235" s="38" t="n">
        <f aca="false">Z97</f>
        <v>1534.74533333334</v>
      </c>
      <c r="AA235" s="38" t="n">
        <f aca="false">AA97</f>
        <v>1534.74533333334</v>
      </c>
    </row>
    <row r="236" customFormat="false" ht="15" hidden="false" customHeight="false" outlineLevel="0" collapsed="false">
      <c r="A236" s="3" t="s">
        <v>587</v>
      </c>
      <c r="B236" s="3" t="s">
        <v>62</v>
      </c>
      <c r="C236" s="38" t="n">
        <f aca="false">0</f>
        <v>0</v>
      </c>
      <c r="D236" s="38" t="n">
        <f aca="false">D235-(D224-C224)</f>
        <v>-11358.51</v>
      </c>
      <c r="E236" s="38" t="n">
        <f aca="false">E235-(E224-D224)</f>
        <v>-2000.302</v>
      </c>
      <c r="F236" s="38" t="n">
        <f aca="false">F235-(F224-E224)</f>
        <v>-2511.526</v>
      </c>
      <c r="G236" s="38" t="n">
        <f aca="false">G235-(G224-F224)</f>
        <v>-2577.622</v>
      </c>
      <c r="H236" s="38" t="n">
        <f aca="false">H235-(H224-G224)</f>
        <v>-2564.59</v>
      </c>
      <c r="I236" s="38" t="n">
        <f aca="false">I235-(I224-H224)</f>
        <v>-2929.87</v>
      </c>
      <c r="J236" s="38" t="n">
        <f aca="false">J235-(J224-I224)</f>
        <v>-2423.19</v>
      </c>
      <c r="K236" s="38" t="n">
        <f aca="false">K235-(K224-J224)</f>
        <v>-1924.55</v>
      </c>
      <c r="L236" s="38" t="n">
        <f aca="false">L235-(L224-K224)</f>
        <v>-1946.15</v>
      </c>
      <c r="M236" s="38" t="n">
        <f aca="false">M235-(M224-L224)</f>
        <v>-1967.75</v>
      </c>
      <c r="N236" s="38" t="n">
        <f aca="false">N235-(N224-M224)</f>
        <v>-1989.35</v>
      </c>
      <c r="O236" s="38" t="n">
        <f aca="false">O235-(O224-N224)</f>
        <v>-2242.59</v>
      </c>
      <c r="P236" s="38" t="n">
        <f aca="false">P235-(P224-O224)</f>
        <v>-1353.518</v>
      </c>
      <c r="Q236" s="38" t="n">
        <f aca="false">Q235-(Q224-P224)</f>
        <v>828.728399999998</v>
      </c>
      <c r="R236" s="38" t="n">
        <f aca="false">R235-(R224-Q224)</f>
        <v>1274.88680000001</v>
      </c>
      <c r="S236" s="38" t="n">
        <f aca="false">S235-(S224-R224)</f>
        <v>1447.1828</v>
      </c>
      <c r="T236" s="38" t="n">
        <f aca="false">T235-(T224-S224)</f>
        <v>1619.4788</v>
      </c>
      <c r="U236" s="38" t="n">
        <f aca="false">U235-(U224-T224)</f>
        <v>1791.7748</v>
      </c>
      <c r="V236" s="38" t="n">
        <f aca="false">V235-(V224-U224)</f>
        <v>13702.6202933333</v>
      </c>
      <c r="W236" s="38" t="n">
        <f aca="false">W235-(W224-V224)</f>
        <v>-1346.51646666667</v>
      </c>
      <c r="X236" s="38" t="n">
        <f aca="false">X235-(X224-W224)</f>
        <v>-1346.51646666667</v>
      </c>
      <c r="Y236" s="38" t="n">
        <f aca="false">Y235-(Y224-X224)</f>
        <v>-13373.4814266667</v>
      </c>
      <c r="Z236" s="38" t="n">
        <f aca="false">Z235-(Z224-Y224)</f>
        <v>1534.74533333334</v>
      </c>
      <c r="AA236" s="38" t="n">
        <f aca="false">AA235-(AA224-Z224)</f>
        <v>1534.74533333334</v>
      </c>
    </row>
    <row r="238" customFormat="false" ht="15" hidden="false" customHeight="false" outlineLevel="0" collapsed="false">
      <c r="A238" s="5" t="s">
        <v>588</v>
      </c>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customFormat="false" ht="15" hidden="false" customHeight="false" outlineLevel="0" collapsed="false">
      <c r="A239" s="3" t="s">
        <v>589</v>
      </c>
      <c r="C239" s="63" t="n">
        <f aca="false">MIN($C$229:$AA$229)</f>
        <v>-113736.205492308</v>
      </c>
    </row>
    <row r="240" customFormat="false" ht="15" hidden="false" customHeight="false" outlineLevel="0" collapsed="false">
      <c r="A240" s="3" t="s">
        <v>590</v>
      </c>
      <c r="C240" s="64" t="n">
        <f aca="false">INDEX($C$201:$AA$201,1,MATCH(C239,$C$229:$AA$229,0))</f>
        <v>24</v>
      </c>
    </row>
    <row r="241" customFormat="false" ht="15" hidden="false" customHeight="false" outlineLevel="0" collapsed="false">
      <c r="A241" s="3" t="s">
        <v>591</v>
      </c>
      <c r="C241" s="63" t="n">
        <f aca="false">MIN(C239,$C$260:$E$260)</f>
        <v>-113736.205492308</v>
      </c>
    </row>
    <row r="242" customFormat="false" ht="15" hidden="false" customHeight="false" outlineLevel="0" collapsed="false">
      <c r="A242" s="3" t="s">
        <v>592</v>
      </c>
      <c r="C242" s="8" t="str">
        <f aca="false">IF(C239&lt;=MIN($C$260:$E$260),"Month "&amp;C240,CHOOSE(MATCH(C241,$C$260:$E$260,0),"Year 3","Year 4","Year 5"))</f>
        <v>Month 24</v>
      </c>
    </row>
    <row r="243" customFormat="false" ht="15" hidden="false" customHeight="false" outlineLevel="0" collapsed="false">
      <c r="A243" s="3" t="s">
        <v>593</v>
      </c>
      <c r="C243" s="64" t="n">
        <f aca="false">IF(C239&lt;=MIN($C$260:$E$260),C240,24+12*MATCH(C241,$C$260:$E$260,0))</f>
        <v>24</v>
      </c>
    </row>
    <row r="244" customFormat="false" ht="15" hidden="false" customHeight="false" outlineLevel="0" collapsed="false">
      <c r="A244" s="3" t="s">
        <v>594</v>
      </c>
      <c r="C244" s="63" t="n">
        <f aca="false">MAX(0,-C241)</f>
        <v>113736.205492308</v>
      </c>
    </row>
    <row r="245" customFormat="false" ht="15" hidden="false" customHeight="false" outlineLevel="0" collapsed="false">
      <c r="A245" s="3" t="s">
        <v>595</v>
      </c>
      <c r="C245" s="67" t="n">
        <f aca="false">C244*Assumptions!$C$110</f>
        <v>136483.446590769</v>
      </c>
    </row>
    <row r="246" customFormat="false" ht="15" hidden="false" customHeight="false" outlineLevel="0" collapsed="false">
      <c r="A246" s="3" t="s">
        <v>596</v>
      </c>
      <c r="C246" s="64" t="n">
        <f aca="false">IFERROR(MAX(0,INDEX($C$201:$AA$201,1,MATCH(1,$C$230:$AA$230,0))-1),"none")</f>
        <v>2</v>
      </c>
    </row>
    <row r="247" customFormat="false" ht="15" hidden="false" customHeight="false" outlineLevel="0" collapsed="false">
      <c r="A247" s="3" t="s">
        <v>597</v>
      </c>
      <c r="C247" s="38" t="n">
        <f aca="false">AVERAGE($G$228:$I$228)</f>
        <v>-8903.05008391608</v>
      </c>
    </row>
    <row r="248" customFormat="false" ht="15" hidden="false" customHeight="false" outlineLevel="0" collapsed="false">
      <c r="A248" s="3" t="s">
        <v>598</v>
      </c>
      <c r="C248" s="68" t="n">
        <f aca="false">IF(C247&lt;0,MAX(0,$F$229)/-C247,"funded")</f>
        <v>0</v>
      </c>
    </row>
    <row r="249" customFormat="false" ht="15" hidden="false" customHeight="false" outlineLevel="0" collapsed="false">
      <c r="A249" s="3" t="s">
        <v>599</v>
      </c>
      <c r="B249" s="3" t="s">
        <v>62</v>
      </c>
      <c r="C249" s="38" t="n">
        <f aca="false">IF(C$201=$C$246,$C$245,0)</f>
        <v>0</v>
      </c>
      <c r="D249" s="38" t="n">
        <f aca="false">IF(D$201=$C$246,$C$245,0)</f>
        <v>0</v>
      </c>
      <c r="E249" s="38" t="n">
        <f aca="false">IF(E$201=$C$246,$C$245,0)</f>
        <v>136483.446590769</v>
      </c>
      <c r="F249" s="38" t="n">
        <f aca="false">IF(F$201=$C$246,$C$245,0)</f>
        <v>0</v>
      </c>
      <c r="G249" s="38" t="n">
        <f aca="false">IF(G$201=$C$246,$C$245,0)</f>
        <v>0</v>
      </c>
      <c r="H249" s="38" t="n">
        <f aca="false">IF(H$201=$C$246,$C$245,0)</f>
        <v>0</v>
      </c>
      <c r="I249" s="38" t="n">
        <f aca="false">IF(I$201=$C$246,$C$245,0)</f>
        <v>0</v>
      </c>
      <c r="J249" s="38" t="n">
        <f aca="false">IF(J$201=$C$246,$C$245,0)</f>
        <v>0</v>
      </c>
      <c r="K249" s="38" t="n">
        <f aca="false">IF(K$201=$C$246,$C$245,0)</f>
        <v>0</v>
      </c>
      <c r="L249" s="38" t="n">
        <f aca="false">IF(L$201=$C$246,$C$245,0)</f>
        <v>0</v>
      </c>
      <c r="M249" s="38" t="n">
        <f aca="false">IF(M$201=$C$246,$C$245,0)</f>
        <v>0</v>
      </c>
      <c r="N249" s="38" t="n">
        <f aca="false">IF(N$201=$C$246,$C$245,0)</f>
        <v>0</v>
      </c>
      <c r="O249" s="38" t="n">
        <f aca="false">IF(O$201=$C$246,$C$245,0)</f>
        <v>0</v>
      </c>
      <c r="P249" s="38" t="n">
        <f aca="false">IF(P$201=$C$246,$C$245,0)</f>
        <v>0</v>
      </c>
      <c r="Q249" s="38" t="n">
        <f aca="false">IF(Q$201=$C$246,$C$245,0)</f>
        <v>0</v>
      </c>
      <c r="R249" s="38" t="n">
        <f aca="false">IF(R$201=$C$246,$C$245,0)</f>
        <v>0</v>
      </c>
      <c r="S249" s="38" t="n">
        <f aca="false">IF(S$201=$C$246,$C$245,0)</f>
        <v>0</v>
      </c>
      <c r="T249" s="38" t="n">
        <f aca="false">IF(T$201=$C$246,$C$245,0)</f>
        <v>0</v>
      </c>
      <c r="U249" s="38" t="n">
        <f aca="false">IF(U$201=$C$246,$C$245,0)</f>
        <v>0</v>
      </c>
      <c r="V249" s="38" t="n">
        <f aca="false">IF(V$201=$C$246,$C$245,0)</f>
        <v>0</v>
      </c>
      <c r="W249" s="38" t="n">
        <f aca="false">IF(W$201=$C$246,$C$245,0)</f>
        <v>0</v>
      </c>
      <c r="X249" s="38" t="n">
        <f aca="false">IF(X$201=$C$246,$C$245,0)</f>
        <v>0</v>
      </c>
      <c r="Y249" s="38" t="n">
        <f aca="false">IF(Y$201=$C$246,$C$245,0)</f>
        <v>0</v>
      </c>
      <c r="Z249" s="38" t="n">
        <f aca="false">IF(Z$201=$C$246,$C$245,0)</f>
        <v>0</v>
      </c>
      <c r="AA249" s="38" t="n">
        <f aca="false">IF(AA$201=$C$246,$C$245,0)</f>
        <v>0</v>
      </c>
    </row>
    <row r="250" customFormat="false" ht="15" hidden="false" customHeight="false" outlineLevel="0" collapsed="false">
      <c r="A250" s="9" t="s">
        <v>600</v>
      </c>
      <c r="B250" s="3" t="s">
        <v>62</v>
      </c>
      <c r="C250" s="29" t="n">
        <f aca="false">C229+C249</f>
        <v>33465.5244755245</v>
      </c>
      <c r="D250" s="29" t="n">
        <f aca="false">C250+D228+D249</f>
        <v>13979.1627272727</v>
      </c>
      <c r="E250" s="29" t="n">
        <f aca="false">D250+E228+E249</f>
        <v>143689.978646713</v>
      </c>
      <c r="F250" s="29" t="n">
        <f aca="false">E250+F228+F249</f>
        <v>135871.648171189</v>
      </c>
      <c r="G250" s="29" t="n">
        <f aca="false">F250+G228+G249</f>
        <v>127506.510087273</v>
      </c>
      <c r="H250" s="29" t="n">
        <f aca="false">G250+H228+H249</f>
        <v>118664.204003357</v>
      </c>
      <c r="I250" s="29" t="n">
        <f aca="false">H250+I228+I249</f>
        <v>109162.497919441</v>
      </c>
      <c r="J250" s="29" t="n">
        <f aca="false">I250+J228+J249</f>
        <v>99971.3918355246</v>
      </c>
      <c r="K250" s="29" t="n">
        <f aca="false">J250+K228+K249</f>
        <v>91057.5467306294</v>
      </c>
      <c r="L250" s="29" t="n">
        <f aca="false">K250+L228+L249</f>
        <v>81056.3161711889</v>
      </c>
      <c r="M250" s="29" t="n">
        <f aca="false">L250+M228+M249</f>
        <v>69994.8888005595</v>
      </c>
      <c r="N250" s="29" t="n">
        <f aca="false">M250+N228+N249</f>
        <v>58994.0867725875</v>
      </c>
      <c r="O250" s="29" t="n">
        <f aca="false">N250+O228+O249</f>
        <v>48602.7967446155</v>
      </c>
      <c r="P250" s="29" t="n">
        <f aca="false">O250+P228+P249</f>
        <v>41237.8507166434</v>
      </c>
      <c r="Q250" s="29" t="n">
        <f aca="false">P250+Q228+Q249</f>
        <v>36584.5670886714</v>
      </c>
      <c r="R250" s="29" t="n">
        <f aca="false">Q250+R228+R249</f>
        <v>46220.7148005595</v>
      </c>
      <c r="S250" s="29" t="n">
        <f aca="false">R250+S228+S249</f>
        <v>73556.3400005595</v>
      </c>
      <c r="T250" s="29" t="n">
        <f aca="false">S250+T228+T249</f>
        <v>102652.50920056</v>
      </c>
      <c r="U250" s="29" t="n">
        <f aca="false">T250+U228+U249</f>
        <v>120383.217488671</v>
      </c>
      <c r="V250" s="29" t="n">
        <f aca="false">U250+V228+V249</f>
        <v>105020.899382005</v>
      </c>
      <c r="W250" s="29" t="n">
        <f aca="false">V250+W228+W249</f>
        <v>74609.444515338</v>
      </c>
      <c r="X250" s="29" t="n">
        <f aca="false">W250+X228+X249</f>
        <v>42739.5446584616</v>
      </c>
      <c r="Y250" s="29" t="n">
        <f aca="false">X250+Y228+Y249</f>
        <v>26136.6256317949</v>
      </c>
      <c r="Z250" s="29" t="n">
        <f aca="false">Y250+Z228+Z249</f>
        <v>24441.9333651282</v>
      </c>
      <c r="AA250" s="29" t="n">
        <f aca="false">Z250+AA228+AA249</f>
        <v>22747.2410984616</v>
      </c>
    </row>
    <row r="251" customFormat="false" ht="15" hidden="false" customHeight="false" outlineLevel="0" collapsed="false">
      <c r="A251" s="3" t="s">
        <v>601</v>
      </c>
      <c r="C251" s="68" t="n">
        <f aca="false">IF(C247&lt;0,MAX(0,$F$250)/-C247,"funded")</f>
        <v>15.2612472007374</v>
      </c>
    </row>
    <row r="253" customFormat="false" ht="15" hidden="false" customHeight="false" outlineLevel="0" collapsed="false">
      <c r="A253" s="9" t="s">
        <v>602</v>
      </c>
      <c r="C253" s="14" t="s">
        <v>512</v>
      </c>
      <c r="D253" s="14" t="s">
        <v>513</v>
      </c>
      <c r="E253" s="14" t="s">
        <v>514</v>
      </c>
    </row>
    <row r="254" customFormat="false" ht="15" hidden="false" customHeight="false" outlineLevel="0" collapsed="false">
      <c r="A254" s="3" t="s">
        <v>603</v>
      </c>
      <c r="C254" s="38" t="n">
        <f aca="false">E190</f>
        <v>35684.6301338982</v>
      </c>
      <c r="D254" s="38" t="n">
        <f aca="false">F190</f>
        <v>25953.1418199603</v>
      </c>
      <c r="E254" s="38" t="n">
        <f aca="false">G190</f>
        <v>-2460.90589029198</v>
      </c>
    </row>
    <row r="255" customFormat="false" ht="15" hidden="false" customHeight="false" outlineLevel="0" collapsed="false">
      <c r="A255" s="3" t="s">
        <v>604</v>
      </c>
      <c r="C255" s="60" t="n">
        <f aca="false">E180*Assumptions!$C$105/365</f>
        <v>123696.873938762</v>
      </c>
      <c r="D255" s="60" t="n">
        <f aca="false">F180*Assumptions!$C$105/365</f>
        <v>127663.647666831</v>
      </c>
      <c r="E255" s="60" t="n">
        <f aca="false">G180*Assumptions!$C$105/365</f>
        <v>128557.723971454</v>
      </c>
    </row>
    <row r="256" customFormat="false" ht="15" hidden="false" customHeight="false" outlineLevel="0" collapsed="false">
      <c r="A256" s="3" t="s">
        <v>605</v>
      </c>
      <c r="C256" s="60" t="n">
        <f aca="false">E179*Assumptions!$C$109/365</f>
        <v>28297.9021781918</v>
      </c>
      <c r="D256" s="60" t="n">
        <f aca="false">F179*Assumptions!$C$109/365</f>
        <v>29254.5745673903</v>
      </c>
      <c r="E256" s="60" t="n">
        <f aca="false">G179*Assumptions!$C$109/365</f>
        <v>29470.2002050253</v>
      </c>
    </row>
    <row r="257" customFormat="false" ht="15" hidden="false" customHeight="false" outlineLevel="0" collapsed="false">
      <c r="A257" s="3" t="s">
        <v>606</v>
      </c>
      <c r="C257" s="38" t="n">
        <f aca="false">C255-($AA$233+$AA$234)</f>
        <v>1082.53824645394</v>
      </c>
      <c r="D257" s="38" t="n">
        <f aca="false">D255-C255</f>
        <v>3966.77372806969</v>
      </c>
      <c r="E257" s="38" t="n">
        <f aca="false">E255-D255</f>
        <v>894.076304622329</v>
      </c>
    </row>
    <row r="258" customFormat="false" ht="15" hidden="false" customHeight="false" outlineLevel="0" collapsed="false">
      <c r="A258" s="3" t="s">
        <v>607</v>
      </c>
      <c r="C258" s="38" t="n">
        <f aca="false">C256-$AA$224</f>
        <v>11733.2057781918</v>
      </c>
      <c r="D258" s="38" t="n">
        <f aca="false">D256-C256</f>
        <v>956.672389198549</v>
      </c>
      <c r="E258" s="38" t="n">
        <f aca="false">E256-D256</f>
        <v>215.625637635014</v>
      </c>
    </row>
    <row r="259" customFormat="false" ht="15" hidden="false" customHeight="false" outlineLevel="0" collapsed="false">
      <c r="A259" s="3" t="s">
        <v>580</v>
      </c>
      <c r="C259" s="38" t="n">
        <f aca="false">C254-C257-C258</f>
        <v>22868.8861092525</v>
      </c>
      <c r="D259" s="38" t="n">
        <f aca="false">D254-D257-D258</f>
        <v>21029.6957026921</v>
      </c>
      <c r="E259" s="38" t="n">
        <f aca="false">E254-E257-E258</f>
        <v>-3570.60783254932</v>
      </c>
    </row>
    <row r="260" customFormat="false" ht="15" hidden="false" customHeight="false" outlineLevel="0" collapsed="false">
      <c r="A260" s="3" t="s">
        <v>608</v>
      </c>
      <c r="C260" s="29" t="n">
        <f aca="false">$AA$229+C259</f>
        <v>-90867.3193830553</v>
      </c>
      <c r="D260" s="29" t="n">
        <f aca="false">C260+D259</f>
        <v>-69837.6236803632</v>
      </c>
      <c r="E260" s="29" t="n">
        <f aca="false">D260+E259</f>
        <v>-73408.2315129125</v>
      </c>
    </row>
    <row r="261" customFormat="false" ht="15" hidden="false" customHeight="false" outlineLevel="0" collapsed="false">
      <c r="A261" s="3" t="s">
        <v>609</v>
      </c>
      <c r="C261" s="29" t="n">
        <f aca="false">$AA$250+C259</f>
        <v>45616.127207714</v>
      </c>
      <c r="D261" s="29" t="n">
        <f aca="false">C261+D259</f>
        <v>66645.8229104061</v>
      </c>
      <c r="E261" s="29" t="n">
        <f aca="false">D261+E259</f>
        <v>63075.2150778568</v>
      </c>
    </row>
    <row r="263" customFormat="false" ht="15" hidden="false" customHeight="false" outlineLevel="0" collapsed="false">
      <c r="A263" s="4" t="s">
        <v>610</v>
      </c>
    </row>
    <row r="264" customFormat="false" ht="15" hidden="false" customHeight="false" outlineLevel="0" collapsed="false">
      <c r="A264" s="4" t="s">
        <v>611</v>
      </c>
    </row>
    <row r="266" customFormat="false" ht="15" hidden="false" customHeight="false" outlineLevel="0" collapsed="false">
      <c r="A266" s="5" t="s">
        <v>855</v>
      </c>
      <c r="B266" s="15"/>
      <c r="C266" s="15"/>
      <c r="D266" s="15"/>
      <c r="E266" s="15"/>
      <c r="F266" s="15"/>
      <c r="G266" s="15"/>
      <c r="H266" s="15"/>
    </row>
    <row r="267" customFormat="false" ht="15" hidden="false" customHeight="false" outlineLevel="0" collapsed="false">
      <c r="A267" s="14" t="s">
        <v>643</v>
      </c>
      <c r="B267" s="14" t="s">
        <v>644</v>
      </c>
      <c r="C267" s="14" t="s">
        <v>645</v>
      </c>
      <c r="D267" s="14" t="s">
        <v>646</v>
      </c>
      <c r="E267" s="14" t="s">
        <v>647</v>
      </c>
      <c r="F267" s="14" t="s">
        <v>648</v>
      </c>
      <c r="G267" s="14" t="s">
        <v>59</v>
      </c>
    </row>
    <row r="268" customFormat="false" ht="15" hidden="false" customHeight="false" outlineLevel="0" collapsed="false">
      <c r="A268" s="9" t="s">
        <v>649</v>
      </c>
    </row>
    <row r="269" customFormat="false" ht="15" hidden="false" customHeight="false" outlineLevel="0" collapsed="false">
      <c r="A269" s="3" t="s">
        <v>650</v>
      </c>
      <c r="B269" s="3" t="s">
        <v>651</v>
      </c>
      <c r="C269" s="7" t="str">
        <f aca="false">"at or above "&amp;TEXT(Assumptions!$C$114,"0%")</f>
        <v>at or above 8%</v>
      </c>
      <c r="D269" s="7" t="str">
        <f aca="false">"hero below "&amp;TEXT(Assumptions!$C$115,"0%")</f>
        <v>hero below 5%</v>
      </c>
      <c r="E269" s="3" t="str">
        <f aca="false">"observed"</f>
        <v>observed</v>
      </c>
      <c r="F269" s="3" t="str">
        <f aca="false">"observed"</f>
        <v>observed</v>
      </c>
      <c r="G269" s="3" t="s">
        <v>652</v>
      </c>
    </row>
    <row r="270" customFormat="false" ht="15" hidden="false" customHeight="false" outlineLevel="0" collapsed="false">
      <c r="A270" s="3" t="s">
        <v>653</v>
      </c>
      <c r="B270" s="34" t="n">
        <f aca="false">$F$66</f>
        <v>0.37</v>
      </c>
      <c r="C270" s="7" t="str">
        <f aca="false">"at or below "&amp;TEXT(Assumptions!$C$116,"0%")</f>
        <v>at or below 30%</v>
      </c>
      <c r="D270" s="7" t="str">
        <f aca="false">"above "&amp;TEXT(Assumptions!$C$117,"0%")</f>
        <v>above 40%</v>
      </c>
      <c r="E270" s="72" t="b">
        <f aca="false">B270&lt;=Assumptions!$C$116</f>
        <v>0</v>
      </c>
      <c r="F270" s="72" t="b">
        <f aca="false">B270&gt;Assumptions!$C$117</f>
        <v>0</v>
      </c>
      <c r="G270" s="3" t="s">
        <v>654</v>
      </c>
    </row>
    <row r="271" customFormat="false" ht="15" hidden="false" customHeight="false" outlineLevel="0" collapsed="false">
      <c r="A271" s="3" t="s">
        <v>655</v>
      </c>
      <c r="B271" s="34" t="n">
        <f aca="false">$F$74</f>
        <v>0.04</v>
      </c>
      <c r="C271" s="7" t="str">
        <f aca="false">"at or below "&amp;TEXT(Assumptions!$C$118,"0%")</f>
        <v>at or below 4%</v>
      </c>
      <c r="D271" s="7" t="str">
        <f aca="false">"above "&amp;TEXT(Assumptions!$C$119,"0%")</f>
        <v>above 7%</v>
      </c>
      <c r="E271" s="72" t="b">
        <f aca="false">B271&lt;=Assumptions!$C$118</f>
        <v>1</v>
      </c>
      <c r="F271" s="72" t="b">
        <f aca="false">B271&gt;Assumptions!$C$119</f>
        <v>0</v>
      </c>
      <c r="G271" s="3"/>
    </row>
    <row r="272" customFormat="false" ht="15" hidden="false" customHeight="false" outlineLevel="0" collapsed="false">
      <c r="A272" s="3" t="s">
        <v>656</v>
      </c>
      <c r="B272" s="40" t="n">
        <f aca="false">$F$67</f>
        <v>8.18</v>
      </c>
      <c r="C272" s="7" t="str">
        <f aca="false">"at or above "&amp;TEXT(Assumptions!$C$120,"$#,##0;($#,##0)")</f>
        <v>at or above $11</v>
      </c>
      <c r="D272" s="7" t="str">
        <f aca="false">"hero below "&amp;TEXT(Assumptions!$C$121,"$#,##0;($#,##0)")</f>
        <v>hero below $8</v>
      </c>
      <c r="E272" s="72" t="b">
        <f aca="false">B272&gt;=Assumptions!$C$120</f>
        <v>0</v>
      </c>
      <c r="F272" s="72" t="b">
        <f aca="false">B272&lt;Assumptions!$C$121</f>
        <v>0</v>
      </c>
      <c r="G272" s="3" t="s">
        <v>657</v>
      </c>
    </row>
    <row r="273" customFormat="false" ht="15" hidden="false" customHeight="false" outlineLevel="0" collapsed="false">
      <c r="A273" s="3" t="s">
        <v>658</v>
      </c>
      <c r="B273" s="77" t="n">
        <f aca="false">$C$251</f>
        <v>15.2612472007374</v>
      </c>
      <c r="C273" s="7" t="str">
        <f aca="false">"at or above "&amp;TEXT(Assumptions!$C$122,"0")&amp;" months"</f>
        <v>at or above 4 months</v>
      </c>
      <c r="D273" s="7" t="str">
        <f aca="false">"below "&amp;TEXT(Assumptions!$C$123,"0")&amp;" months"</f>
        <v>below 2 months</v>
      </c>
      <c r="E273" s="72" t="b">
        <f aca="false">IF(ISNUMBER(B273),B273&gt;=Assumptions!$C$122,TRUE())</f>
        <v>1</v>
      </c>
      <c r="F273" s="72" t="b">
        <f aca="false">IF(ISNUMBER(B273),B273&lt;Assumptions!$C$123,FALSE())</f>
        <v>0</v>
      </c>
      <c r="G273" s="3" t="s">
        <v>659</v>
      </c>
    </row>
    <row r="274" customFormat="false" ht="15" hidden="false" customHeight="false" outlineLevel="0" collapsed="false">
      <c r="A274" s="3" t="s">
        <v>660</v>
      </c>
      <c r="B274" s="3" t="s">
        <v>651</v>
      </c>
      <c r="C274" s="3" t="s">
        <v>661</v>
      </c>
      <c r="D274" s="7" t="str">
        <f aca="false">"any open more than "&amp;TEXT(Assumptions!$C$124,"0")&amp;" days"</f>
        <v>any open more than 14 days</v>
      </c>
      <c r="E274" s="3" t="str">
        <f aca="false">"observed"</f>
        <v>observed</v>
      </c>
      <c r="F274" s="3" t="str">
        <f aca="false">"observed"</f>
        <v>observed</v>
      </c>
      <c r="G274" s="3" t="s">
        <v>662</v>
      </c>
    </row>
    <row r="275" customFormat="false" ht="15" hidden="false" customHeight="false" outlineLevel="0" collapsed="false">
      <c r="A275" s="9" t="s">
        <v>663</v>
      </c>
      <c r="B275" s="8" t="str">
        <f aca="false">IF(OR(F270,F271,F272,F273),"KILL",IF(AND(E270,E271,E272,E273),"PASS","REVIEW"))</f>
        <v>REVIEW</v>
      </c>
      <c r="G275" s="3" t="s">
        <v>664</v>
      </c>
    </row>
    <row r="277" customFormat="false" ht="15" hidden="false" customHeight="false" outlineLevel="0" collapsed="false">
      <c r="A277" s="9" t="s">
        <v>665</v>
      </c>
    </row>
    <row r="278" customFormat="false" ht="15" hidden="false" customHeight="false" outlineLevel="0" collapsed="false">
      <c r="A278" s="3" t="s">
        <v>666</v>
      </c>
      <c r="B278" s="38" t="n">
        <f aca="false">$O$51</f>
        <v>46740</v>
      </c>
      <c r="C278" s="7" t="str">
        <f aca="false">"at or above "&amp;TEXT(Assumptions!$C$125,"$#,##0;($#,##0)")</f>
        <v>at or above $70,000</v>
      </c>
      <c r="D278" s="7" t="str">
        <f aca="false">"below "&amp;TEXT(Assumptions!$C$126,"$#,##0;($#,##0)")</f>
        <v>below $50,000</v>
      </c>
      <c r="E278" s="72" t="b">
        <f aca="false">B278&gt;=Assumptions!$C$125</f>
        <v>0</v>
      </c>
      <c r="F278" s="72" t="b">
        <f aca="false">B278&lt;Assumptions!$C$126</f>
        <v>1</v>
      </c>
      <c r="G278" s="3" t="s">
        <v>667</v>
      </c>
    </row>
    <row r="279" customFormat="false" ht="15" hidden="false" customHeight="false" outlineLevel="0" collapsed="false">
      <c r="A279" s="3" t="s">
        <v>668</v>
      </c>
      <c r="B279" s="38" t="n">
        <f aca="false">$O$64</f>
        <v>-27160.16</v>
      </c>
      <c r="C279" s="7" t="str">
        <f aca="false">"at or above "&amp;TEXT(Assumptions!$C$127,"$#,##0;($#,##0)")</f>
        <v>at or above $0</v>
      </c>
      <c r="D279" s="7" t="str">
        <f aca="false">"below "&amp;TEXT(Assumptions!$C$128,"$#,##0;($#,##0)")</f>
        <v>below ($25,000)</v>
      </c>
      <c r="E279" s="72" t="b">
        <f aca="false">B279&gt;=Assumptions!$C$127</f>
        <v>0</v>
      </c>
      <c r="F279" s="72" t="b">
        <f aca="false">B279&lt;Assumptions!$C$128</f>
        <v>1</v>
      </c>
      <c r="G279" s="3"/>
    </row>
    <row r="280" customFormat="false" ht="15" hidden="false" customHeight="false" outlineLevel="0" collapsed="false">
      <c r="A280" s="3" t="s">
        <v>669</v>
      </c>
      <c r="B280" s="34" t="n">
        <f aca="false">$O$66</f>
        <v>0.22</v>
      </c>
      <c r="C280" s="7" t="str">
        <f aca="false">"at or below "&amp;TEXT(Assumptions!$C$129,"0%")</f>
        <v>at or below 15%</v>
      </c>
      <c r="D280" s="7" t="str">
        <f aca="false">"above "&amp;TEXT(Assumptions!$C$130,"0%")</f>
        <v>above 25%</v>
      </c>
      <c r="E280" s="72" t="b">
        <f aca="false">B280&lt;=Assumptions!$C$129</f>
        <v>0</v>
      </c>
      <c r="F280" s="72" t="b">
        <f aca="false">B280&gt;Assumptions!$C$130</f>
        <v>0</v>
      </c>
      <c r="G280" s="3"/>
    </row>
    <row r="281" customFormat="false" ht="15" hidden="false" customHeight="false" outlineLevel="0" collapsed="false">
      <c r="A281" s="3" t="s">
        <v>670</v>
      </c>
      <c r="B281" s="34" t="n">
        <f aca="false">$O$74</f>
        <v>0.04</v>
      </c>
      <c r="C281" s="7" t="str">
        <f aca="false">"at or below "&amp;TEXT(Assumptions!$C$131,"0%")</f>
        <v>at or below 3%</v>
      </c>
      <c r="D281" s="7" t="str">
        <f aca="false">"above "&amp;TEXT(Assumptions!$C$132,"0%")</f>
        <v>above 5%</v>
      </c>
      <c r="E281" s="72" t="b">
        <f aca="false">B281&lt;=Assumptions!$C$131</f>
        <v>0</v>
      </c>
      <c r="F281" s="72" t="b">
        <f aca="false">B281&gt;Assumptions!$C$132</f>
        <v>0</v>
      </c>
      <c r="G281" s="3"/>
    </row>
    <row r="282" customFormat="false" ht="15" hidden="false" customHeight="false" outlineLevel="0" collapsed="false">
      <c r="A282" s="3" t="s">
        <v>671</v>
      </c>
      <c r="B282" s="38" t="n">
        <f aca="false">MIN($N$236,$O$236)</f>
        <v>-2242.59</v>
      </c>
      <c r="C282" s="3" t="s">
        <v>672</v>
      </c>
      <c r="D282" s="7" t="str">
        <f aca="false">"negative in Months 10, 11 and 12 with a funding gap above "&amp;TEXT(Assumptions!$C$133,"$#,##0;($#,##0)")</f>
        <v>negative in Months 10, 11 and 12 with a funding gap above $50,000</v>
      </c>
      <c r="E282" s="74" t="b">
        <f aca="false">B282&gt;0</f>
        <v>0</v>
      </c>
      <c r="F282" s="72" t="b">
        <f aca="false">AND($M$236&lt;0,$N$236&lt;0,$O$236&lt;0,$C$245&gt;Assumptions!$C$133)</f>
        <v>1</v>
      </c>
      <c r="G282" s="3" t="s">
        <v>856</v>
      </c>
    </row>
    <row r="283" customFormat="false" ht="15" hidden="false" customHeight="false" outlineLevel="0" collapsed="false">
      <c r="A283" s="9" t="s">
        <v>674</v>
      </c>
      <c r="B283" s="8" t="str">
        <f aca="false">IF(OR(F278,F279,F280,F281,F282),"KILL",IF(AND(E278,E279,E280,E281,E282),"PASS","REVIEW"))</f>
        <v>KILL</v>
      </c>
      <c r="G283" s="3" t="s">
        <v>675</v>
      </c>
    </row>
    <row r="287" customFormat="false" ht="15" hidden="false" customHeight="false" outlineLevel="0" collapsed="false">
      <c r="A287" s="5" t="s">
        <v>857</v>
      </c>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customFormat="false" ht="15" hidden="false" customHeight="false" outlineLevel="0" collapsed="false">
      <c r="A288" s="14" t="s">
        <v>444</v>
      </c>
      <c r="B288" s="14" t="s">
        <v>53</v>
      </c>
      <c r="C288" s="14" t="s">
        <v>445</v>
      </c>
      <c r="D288" s="14" t="s">
        <v>232</v>
      </c>
      <c r="E288" s="14" t="s">
        <v>234</v>
      </c>
      <c r="F288" s="14" t="s">
        <v>235</v>
      </c>
      <c r="G288" s="14" t="s">
        <v>236</v>
      </c>
      <c r="H288" s="14" t="s">
        <v>237</v>
      </c>
      <c r="I288" s="14" t="s">
        <v>238</v>
      </c>
      <c r="J288" s="14" t="s">
        <v>239</v>
      </c>
      <c r="K288" s="14" t="s">
        <v>240</v>
      </c>
      <c r="L288" s="14" t="s">
        <v>241</v>
      </c>
      <c r="M288" s="14" t="s">
        <v>242</v>
      </c>
      <c r="N288" s="14" t="s">
        <v>243</v>
      </c>
      <c r="O288" s="14" t="s">
        <v>244</v>
      </c>
      <c r="P288" s="14" t="s">
        <v>245</v>
      </c>
      <c r="Q288" s="14" t="s">
        <v>246</v>
      </c>
      <c r="R288" s="14" t="s">
        <v>247</v>
      </c>
      <c r="S288" s="14" t="s">
        <v>248</v>
      </c>
      <c r="T288" s="14" t="s">
        <v>249</v>
      </c>
      <c r="U288" s="14" t="s">
        <v>250</v>
      </c>
      <c r="V288" s="14" t="s">
        <v>251</v>
      </c>
      <c r="W288" s="14" t="s">
        <v>253</v>
      </c>
      <c r="X288" s="14" t="s">
        <v>254</v>
      </c>
      <c r="Y288" s="14" t="s">
        <v>255</v>
      </c>
      <c r="Z288" s="14" t="s">
        <v>256</v>
      </c>
      <c r="AA288" s="14" t="s">
        <v>257</v>
      </c>
      <c r="AB288" s="14" t="s">
        <v>446</v>
      </c>
      <c r="AC288" s="14" t="s">
        <v>447</v>
      </c>
    </row>
    <row r="289" customFormat="false" ht="15" hidden="false" customHeight="false" outlineLevel="0" collapsed="false">
      <c r="A289" s="3" t="s">
        <v>448</v>
      </c>
      <c r="C289" s="30" t="n">
        <v>0</v>
      </c>
      <c r="D289" s="30" t="n">
        <v>1</v>
      </c>
      <c r="E289" s="30" t="n">
        <v>2</v>
      </c>
      <c r="F289" s="30" t="n">
        <v>3</v>
      </c>
      <c r="G289" s="30" t="n">
        <v>4</v>
      </c>
      <c r="H289" s="30" t="n">
        <v>5</v>
      </c>
      <c r="I289" s="30" t="n">
        <v>6</v>
      </c>
      <c r="J289" s="30" t="n">
        <v>7</v>
      </c>
      <c r="K289" s="30" t="n">
        <v>8</v>
      </c>
      <c r="L289" s="30" t="n">
        <v>9</v>
      </c>
      <c r="M289" s="30" t="n">
        <v>10</v>
      </c>
      <c r="N289" s="30" t="n">
        <v>11</v>
      </c>
      <c r="O289" s="30" t="n">
        <v>12</v>
      </c>
      <c r="P289" s="30" t="n">
        <v>13</v>
      </c>
      <c r="Q289" s="30" t="n">
        <v>14</v>
      </c>
      <c r="R289" s="30" t="n">
        <v>15</v>
      </c>
      <c r="S289" s="30" t="n">
        <v>16</v>
      </c>
      <c r="T289" s="30" t="n">
        <v>17</v>
      </c>
      <c r="U289" s="30" t="n">
        <v>18</v>
      </c>
      <c r="V289" s="30" t="n">
        <v>19</v>
      </c>
      <c r="W289" s="30" t="n">
        <v>20</v>
      </c>
      <c r="X289" s="30" t="n">
        <v>21</v>
      </c>
      <c r="Y289" s="30" t="n">
        <v>22</v>
      </c>
      <c r="Z289" s="30" t="n">
        <v>23</v>
      </c>
      <c r="AA289" s="30" t="n">
        <v>24</v>
      </c>
      <c r="AB289" s="4" t="s">
        <v>449</v>
      </c>
      <c r="AC289" s="4" t="s">
        <v>450</v>
      </c>
    </row>
    <row r="290" customFormat="false" ht="15" hidden="false" customHeight="false" outlineLevel="0" collapsed="false">
      <c r="A290" s="9" t="s">
        <v>451</v>
      </c>
    </row>
    <row r="291" customFormat="false" ht="15" hidden="false" customHeight="false" outlineLevel="0" collapsed="false">
      <c r="A291" s="9" t="s">
        <v>452</v>
      </c>
      <c r="B291" s="3" t="s">
        <v>95</v>
      </c>
      <c r="D291" s="59" t="n">
        <f aca="false">Assumptions!$D$137</f>
        <v>150</v>
      </c>
      <c r="E291" s="59" t="n">
        <f aca="false">Assumptions!$D$138</f>
        <v>240</v>
      </c>
      <c r="F291" s="59" t="n">
        <f aca="false">Assumptions!$D$139</f>
        <v>360</v>
      </c>
      <c r="G291" s="59" t="n">
        <f aca="false">Assumptions!$D$140</f>
        <v>500</v>
      </c>
      <c r="H291" s="59" t="n">
        <f aca="false">Assumptions!$D$141</f>
        <v>650</v>
      </c>
      <c r="I291" s="59" t="n">
        <f aca="false">Assumptions!$D$142</f>
        <v>820</v>
      </c>
      <c r="J291" s="59" t="n">
        <f aca="false">Assumptions!$D$143</f>
        <v>1000</v>
      </c>
      <c r="K291" s="59" t="n">
        <f aca="false">Assumptions!$D$144</f>
        <v>1200</v>
      </c>
      <c r="L291" s="59" t="n">
        <f aca="false">Assumptions!$D$145</f>
        <v>1400</v>
      </c>
      <c r="M291" s="59" t="n">
        <f aca="false">Assumptions!$D$146</f>
        <v>1600</v>
      </c>
      <c r="N291" s="59" t="n">
        <f aca="false">Assumptions!$D$147</f>
        <v>1800</v>
      </c>
      <c r="O291" s="59" t="n">
        <f aca="false">Assumptions!$D$148</f>
        <v>2050</v>
      </c>
      <c r="P291" s="59" t="n">
        <f aca="false">Assumptions!$D$149</f>
        <v>2250</v>
      </c>
      <c r="Q291" s="59" t="n">
        <f aca="false">Assumptions!$D$150</f>
        <v>2450</v>
      </c>
      <c r="R291" s="59" t="n">
        <f aca="false">Assumptions!$D$151</f>
        <v>2600</v>
      </c>
      <c r="S291" s="59" t="n">
        <f aca="false">Assumptions!$D$152</f>
        <v>2750</v>
      </c>
      <c r="T291" s="59" t="n">
        <f aca="false">Assumptions!$D$153</f>
        <v>2900</v>
      </c>
      <c r="U291" s="59" t="n">
        <f aca="false">Assumptions!$D$154</f>
        <v>3050</v>
      </c>
      <c r="V291" s="59" t="n">
        <f aca="false">Assumptions!$D$155</f>
        <v>3150</v>
      </c>
      <c r="W291" s="59" t="n">
        <f aca="false">Assumptions!$D$156</f>
        <v>3250</v>
      </c>
      <c r="X291" s="59" t="n">
        <f aca="false">Assumptions!$D$157</f>
        <v>3350</v>
      </c>
      <c r="Y291" s="59" t="n">
        <f aca="false">Assumptions!$D$158</f>
        <v>3450</v>
      </c>
      <c r="Z291" s="59" t="n">
        <f aca="false">Assumptions!$D$159</f>
        <v>3550</v>
      </c>
      <c r="AA291" s="59" t="n">
        <f aca="false">Assumptions!$D$160</f>
        <v>3650</v>
      </c>
      <c r="AB291" s="24" t="n">
        <f aca="false">SUM(D291:O291)</f>
        <v>11770</v>
      </c>
      <c r="AC291" s="24" t="n">
        <f aca="false">SUM(P291:AA291)</f>
        <v>36400</v>
      </c>
    </row>
    <row r="292" customFormat="false" ht="15" hidden="false" customHeight="false" outlineLevel="0" collapsed="false">
      <c r="A292" s="3" t="s">
        <v>453</v>
      </c>
      <c r="B292" s="3" t="s">
        <v>454</v>
      </c>
      <c r="D292" s="35" t="n">
        <f aca="false">Assumptions!$D$10</f>
        <v>42</v>
      </c>
      <c r="E292" s="35" t="n">
        <f aca="false">Assumptions!$D$10</f>
        <v>42</v>
      </c>
      <c r="F292" s="35" t="n">
        <f aca="false">Assumptions!$D$10</f>
        <v>42</v>
      </c>
      <c r="G292" s="35" t="n">
        <f aca="false">Assumptions!$D$10</f>
        <v>42</v>
      </c>
      <c r="H292" s="35" t="n">
        <f aca="false">Assumptions!$D$10</f>
        <v>42</v>
      </c>
      <c r="I292" s="35" t="n">
        <f aca="false">Assumptions!$D$10</f>
        <v>42</v>
      </c>
      <c r="J292" s="35" t="n">
        <f aca="false">Assumptions!$D$10</f>
        <v>42</v>
      </c>
      <c r="K292" s="35" t="n">
        <f aca="false">Assumptions!$D$10</f>
        <v>42</v>
      </c>
      <c r="L292" s="35" t="n">
        <f aca="false">Assumptions!$D$10</f>
        <v>42</v>
      </c>
      <c r="M292" s="35" t="n">
        <f aca="false">Assumptions!$D$10</f>
        <v>42</v>
      </c>
      <c r="N292" s="35" t="n">
        <f aca="false">Assumptions!$D$10</f>
        <v>42</v>
      </c>
      <c r="O292" s="35" t="n">
        <f aca="false">Assumptions!$D$10</f>
        <v>42</v>
      </c>
      <c r="P292" s="35" t="n">
        <f aca="false">Assumptions!$D$10</f>
        <v>42</v>
      </c>
      <c r="Q292" s="35" t="n">
        <f aca="false">Assumptions!$D$10</f>
        <v>42</v>
      </c>
      <c r="R292" s="35" t="n">
        <f aca="false">Assumptions!$D$10</f>
        <v>42</v>
      </c>
      <c r="S292" s="35" t="n">
        <f aca="false">Assumptions!$D$10</f>
        <v>42</v>
      </c>
      <c r="T292" s="35" t="n">
        <f aca="false">Assumptions!$D$10</f>
        <v>42</v>
      </c>
      <c r="U292" s="35" t="n">
        <f aca="false">Assumptions!$D$10</f>
        <v>42</v>
      </c>
      <c r="V292" s="35" t="n">
        <f aca="false">Assumptions!$D$10</f>
        <v>42</v>
      </c>
      <c r="W292" s="35" t="n">
        <f aca="false">Assumptions!$D$10</f>
        <v>42</v>
      </c>
      <c r="X292" s="35" t="n">
        <f aca="false">Assumptions!$D$10</f>
        <v>42</v>
      </c>
      <c r="Y292" s="35" t="n">
        <f aca="false">Assumptions!$D$10</f>
        <v>42</v>
      </c>
      <c r="Z292" s="35" t="n">
        <f aca="false">Assumptions!$D$10</f>
        <v>42</v>
      </c>
      <c r="AA292" s="35" t="n">
        <f aca="false">Assumptions!$D$10</f>
        <v>42</v>
      </c>
      <c r="AB292" s="40" t="n">
        <f aca="false">IF(AB291=0,0,AB293/AB291)</f>
        <v>42</v>
      </c>
      <c r="AC292" s="40" t="n">
        <f aca="false">IF(AC291=0,0,AC293/AC291)</f>
        <v>42</v>
      </c>
    </row>
    <row r="293" customFormat="false" ht="15" hidden="false" customHeight="false" outlineLevel="0" collapsed="false">
      <c r="A293" s="9" t="s">
        <v>455</v>
      </c>
      <c r="B293" s="3" t="s">
        <v>62</v>
      </c>
      <c r="D293" s="29" t="n">
        <f aca="false">D291*D292</f>
        <v>6300</v>
      </c>
      <c r="E293" s="29" t="n">
        <f aca="false">E291*E292</f>
        <v>10080</v>
      </c>
      <c r="F293" s="29" t="n">
        <f aca="false">F291*F292</f>
        <v>15120</v>
      </c>
      <c r="G293" s="29" t="n">
        <f aca="false">G291*G292</f>
        <v>21000</v>
      </c>
      <c r="H293" s="29" t="n">
        <f aca="false">H291*H292</f>
        <v>27300</v>
      </c>
      <c r="I293" s="29" t="n">
        <f aca="false">I291*I292</f>
        <v>34440</v>
      </c>
      <c r="J293" s="29" t="n">
        <f aca="false">J291*J292</f>
        <v>42000</v>
      </c>
      <c r="K293" s="29" t="n">
        <f aca="false">K291*K292</f>
        <v>50400</v>
      </c>
      <c r="L293" s="29" t="n">
        <f aca="false">L291*L292</f>
        <v>58800</v>
      </c>
      <c r="M293" s="29" t="n">
        <f aca="false">M291*M292</f>
        <v>67200</v>
      </c>
      <c r="N293" s="29" t="n">
        <f aca="false">N291*N292</f>
        <v>75600</v>
      </c>
      <c r="O293" s="29" t="n">
        <f aca="false">O291*O292</f>
        <v>86100</v>
      </c>
      <c r="P293" s="29" t="n">
        <f aca="false">P291*P292</f>
        <v>94500</v>
      </c>
      <c r="Q293" s="29" t="n">
        <f aca="false">Q291*Q292</f>
        <v>102900</v>
      </c>
      <c r="R293" s="29" t="n">
        <f aca="false">R291*R292</f>
        <v>109200</v>
      </c>
      <c r="S293" s="29" t="n">
        <f aca="false">S291*S292</f>
        <v>115500</v>
      </c>
      <c r="T293" s="29" t="n">
        <f aca="false">T291*T292</f>
        <v>121800</v>
      </c>
      <c r="U293" s="29" t="n">
        <f aca="false">U291*U292</f>
        <v>128100</v>
      </c>
      <c r="V293" s="29" t="n">
        <f aca="false">V291*V292</f>
        <v>132300</v>
      </c>
      <c r="W293" s="29" t="n">
        <f aca="false">W291*W292</f>
        <v>136500</v>
      </c>
      <c r="X293" s="29" t="n">
        <f aca="false">X291*X292</f>
        <v>140700</v>
      </c>
      <c r="Y293" s="29" t="n">
        <f aca="false">Y291*Y292</f>
        <v>144900</v>
      </c>
      <c r="Z293" s="29" t="n">
        <f aca="false">Z291*Z292</f>
        <v>149100</v>
      </c>
      <c r="AA293" s="29" t="n">
        <f aca="false">AA291*AA292</f>
        <v>153300</v>
      </c>
      <c r="AB293" s="29" t="n">
        <f aca="false">SUM(D293:O293)</f>
        <v>494340</v>
      </c>
      <c r="AC293" s="29" t="n">
        <f aca="false">SUM(P293:AA293)</f>
        <v>1528800</v>
      </c>
    </row>
    <row r="294" customFormat="false" ht="15" hidden="false" customHeight="false" outlineLevel="0" collapsed="false">
      <c r="A294" s="3" t="s">
        <v>456</v>
      </c>
      <c r="B294" s="3" t="s">
        <v>62</v>
      </c>
      <c r="D294" s="38" t="n">
        <f aca="false">D293*D314</f>
        <v>2394</v>
      </c>
      <c r="E294" s="38" t="n">
        <f aca="false">E293*E314</f>
        <v>3830.4</v>
      </c>
      <c r="F294" s="38" t="n">
        <f aca="false">F293*F314</f>
        <v>5745.6</v>
      </c>
      <c r="G294" s="38" t="n">
        <f aca="false">G293*G314</f>
        <v>7980</v>
      </c>
      <c r="H294" s="38" t="n">
        <f aca="false">H293*H314</f>
        <v>10374</v>
      </c>
      <c r="I294" s="38" t="n">
        <f aca="false">I293*I314</f>
        <v>13087.2</v>
      </c>
      <c r="J294" s="38" t="n">
        <f aca="false">J293*J314</f>
        <v>15960</v>
      </c>
      <c r="K294" s="38" t="n">
        <f aca="false">K293*K314</f>
        <v>19152</v>
      </c>
      <c r="L294" s="38" t="n">
        <f aca="false">L293*L314</f>
        <v>22344</v>
      </c>
      <c r="M294" s="38" t="n">
        <f aca="false">M293*M314</f>
        <v>25536</v>
      </c>
      <c r="N294" s="38" t="n">
        <f aca="false">N293*N314</f>
        <v>28728</v>
      </c>
      <c r="O294" s="38" t="n">
        <f aca="false">O293*O314</f>
        <v>32718</v>
      </c>
      <c r="P294" s="38" t="n">
        <f aca="false">P293*P314</f>
        <v>35910</v>
      </c>
      <c r="Q294" s="38" t="n">
        <f aca="false">Q293*Q314</f>
        <v>39102</v>
      </c>
      <c r="R294" s="38" t="n">
        <f aca="false">R293*R314</f>
        <v>41496</v>
      </c>
      <c r="S294" s="38" t="n">
        <f aca="false">S293*S314</f>
        <v>43890</v>
      </c>
      <c r="T294" s="38" t="n">
        <f aca="false">T293*T314</f>
        <v>46284</v>
      </c>
      <c r="U294" s="38" t="n">
        <f aca="false">U293*U314</f>
        <v>48678</v>
      </c>
      <c r="V294" s="38" t="n">
        <f aca="false">V293*V314</f>
        <v>48289.5</v>
      </c>
      <c r="W294" s="38" t="n">
        <f aca="false">W293*W314</f>
        <v>49822.5</v>
      </c>
      <c r="X294" s="38" t="n">
        <f aca="false">X293*X314</f>
        <v>51355.5</v>
      </c>
      <c r="Y294" s="38" t="n">
        <f aca="false">Y293*Y314</f>
        <v>52888.5</v>
      </c>
      <c r="Z294" s="38" t="n">
        <f aca="false">Z293*Z314</f>
        <v>54421.5</v>
      </c>
      <c r="AA294" s="38" t="n">
        <f aca="false">AA293*AA314</f>
        <v>55954.5</v>
      </c>
      <c r="AB294" s="38" t="n">
        <f aca="false">SUM(D294:O294)</f>
        <v>187849.2</v>
      </c>
      <c r="AC294" s="38" t="n">
        <f aca="false">SUM(P294:AA294)</f>
        <v>568092</v>
      </c>
    </row>
    <row r="295" customFormat="false" ht="15" hidden="false" customHeight="false" outlineLevel="0" collapsed="false">
      <c r="A295" s="3" t="s">
        <v>457</v>
      </c>
      <c r="B295" s="3" t="s">
        <v>62</v>
      </c>
      <c r="D295" s="60" t="n">
        <f aca="false">D293*Assumptions!$D$19</f>
        <v>945</v>
      </c>
      <c r="E295" s="60" t="n">
        <f aca="false">E293*Assumptions!$D$19</f>
        <v>1512</v>
      </c>
      <c r="F295" s="60" t="n">
        <f aca="false">F293*Assumptions!$D$19</f>
        <v>2268</v>
      </c>
      <c r="G295" s="60" t="n">
        <f aca="false">G293*Assumptions!$D$19</f>
        <v>3150</v>
      </c>
      <c r="H295" s="60" t="n">
        <f aca="false">H293*Assumptions!$D$19</f>
        <v>4095</v>
      </c>
      <c r="I295" s="60" t="n">
        <f aca="false">I293*Assumptions!$D$19</f>
        <v>5166</v>
      </c>
      <c r="J295" s="60" t="n">
        <f aca="false">J293*Assumptions!$D$19</f>
        <v>6300</v>
      </c>
      <c r="K295" s="60" t="n">
        <f aca="false">K293*Assumptions!$D$19</f>
        <v>7560</v>
      </c>
      <c r="L295" s="60" t="n">
        <f aca="false">L293*Assumptions!$D$19</f>
        <v>8820</v>
      </c>
      <c r="M295" s="60" t="n">
        <f aca="false">M293*Assumptions!$D$19</f>
        <v>10080</v>
      </c>
      <c r="N295" s="60" t="n">
        <f aca="false">N293*Assumptions!$D$19</f>
        <v>11340</v>
      </c>
      <c r="O295" s="60" t="n">
        <f aca="false">O293*Assumptions!$D$19</f>
        <v>12915</v>
      </c>
      <c r="P295" s="60" t="n">
        <f aca="false">P293*Assumptions!$D$19</f>
        <v>14175</v>
      </c>
      <c r="Q295" s="60" t="n">
        <f aca="false">Q293*Assumptions!$D$19</f>
        <v>15435</v>
      </c>
      <c r="R295" s="60" t="n">
        <f aca="false">R293*Assumptions!$D$19</f>
        <v>16380</v>
      </c>
      <c r="S295" s="60" t="n">
        <f aca="false">S293*Assumptions!$D$19</f>
        <v>17325</v>
      </c>
      <c r="T295" s="60" t="n">
        <f aca="false">T293*Assumptions!$D$19</f>
        <v>18270</v>
      </c>
      <c r="U295" s="60" t="n">
        <f aca="false">U293*Assumptions!$D$19</f>
        <v>19215</v>
      </c>
      <c r="V295" s="60" t="n">
        <f aca="false">V293*Assumptions!$D$19</f>
        <v>19845</v>
      </c>
      <c r="W295" s="60" t="n">
        <f aca="false">W293*Assumptions!$D$19</f>
        <v>20475</v>
      </c>
      <c r="X295" s="60" t="n">
        <f aca="false">X293*Assumptions!$D$19</f>
        <v>21105</v>
      </c>
      <c r="Y295" s="60" t="n">
        <f aca="false">Y293*Assumptions!$D$19</f>
        <v>21735</v>
      </c>
      <c r="Z295" s="60" t="n">
        <f aca="false">Z293*Assumptions!$D$19</f>
        <v>22365</v>
      </c>
      <c r="AA295" s="60" t="n">
        <f aca="false">AA293*Assumptions!$D$19</f>
        <v>22995</v>
      </c>
      <c r="AB295" s="38" t="n">
        <f aca="false">SUM(D295:O295)</f>
        <v>74151</v>
      </c>
      <c r="AC295" s="38" t="n">
        <f aca="false">SUM(P295:AA295)</f>
        <v>229320</v>
      </c>
    </row>
    <row r="296" customFormat="false" ht="15" hidden="false" customHeight="false" outlineLevel="0" collapsed="false">
      <c r="A296" s="3" t="s">
        <v>367</v>
      </c>
      <c r="B296" s="3" t="s">
        <v>62</v>
      </c>
      <c r="D296" s="38" t="n">
        <f aca="false">D291*D315</f>
        <v>825</v>
      </c>
      <c r="E296" s="38" t="n">
        <f aca="false">E291*E315</f>
        <v>1320</v>
      </c>
      <c r="F296" s="38" t="n">
        <f aca="false">F291*F315</f>
        <v>1980</v>
      </c>
      <c r="G296" s="38" t="n">
        <f aca="false">G291*G315</f>
        <v>2750</v>
      </c>
      <c r="H296" s="38" t="n">
        <f aca="false">H291*H315</f>
        <v>3575</v>
      </c>
      <c r="I296" s="38" t="n">
        <f aca="false">I291*I315</f>
        <v>4510</v>
      </c>
      <c r="J296" s="38" t="n">
        <f aca="false">J291*J315</f>
        <v>5500</v>
      </c>
      <c r="K296" s="38" t="n">
        <f aca="false">K291*K315</f>
        <v>6600</v>
      </c>
      <c r="L296" s="38" t="n">
        <f aca="false">L291*L315</f>
        <v>7700</v>
      </c>
      <c r="M296" s="38" t="n">
        <f aca="false">M291*M315</f>
        <v>8800</v>
      </c>
      <c r="N296" s="38" t="n">
        <f aca="false">N291*N315</f>
        <v>9900</v>
      </c>
      <c r="O296" s="38" t="n">
        <f aca="false">O291*O315</f>
        <v>11275</v>
      </c>
      <c r="P296" s="38" t="n">
        <f aca="false">P291*P315</f>
        <v>12375</v>
      </c>
      <c r="Q296" s="38" t="n">
        <f aca="false">Q291*Q315</f>
        <v>13475</v>
      </c>
      <c r="R296" s="38" t="n">
        <f aca="false">R291*R315</f>
        <v>14300</v>
      </c>
      <c r="S296" s="38" t="n">
        <f aca="false">S291*S315</f>
        <v>15125</v>
      </c>
      <c r="T296" s="38" t="n">
        <f aca="false">T291*T315</f>
        <v>15950</v>
      </c>
      <c r="U296" s="38" t="n">
        <f aca="false">U291*U315</f>
        <v>16775</v>
      </c>
      <c r="V296" s="38" t="n">
        <f aca="false">V291*V315</f>
        <v>17844.75</v>
      </c>
      <c r="W296" s="38" t="n">
        <f aca="false">W291*W315</f>
        <v>18411.25</v>
      </c>
      <c r="X296" s="38" t="n">
        <f aca="false">X291*X315</f>
        <v>18977.75</v>
      </c>
      <c r="Y296" s="38" t="n">
        <f aca="false">Y291*Y315</f>
        <v>19544.25</v>
      </c>
      <c r="Z296" s="38" t="n">
        <f aca="false">Z291*Z315</f>
        <v>20110.75</v>
      </c>
      <c r="AA296" s="38" t="n">
        <f aca="false">AA291*AA315</f>
        <v>20677.25</v>
      </c>
      <c r="AB296" s="38" t="n">
        <f aca="false">SUM(D296:O296)</f>
        <v>64735</v>
      </c>
      <c r="AC296" s="38" t="n">
        <f aca="false">SUM(P296:AA296)</f>
        <v>203566</v>
      </c>
    </row>
    <row r="297" customFormat="false" ht="15" hidden="false" customHeight="false" outlineLevel="0" collapsed="false">
      <c r="A297" s="3" t="s">
        <v>458</v>
      </c>
      <c r="B297" s="3" t="s">
        <v>62</v>
      </c>
      <c r="D297" s="38" t="n">
        <f aca="false">D293*D316</f>
        <v>189</v>
      </c>
      <c r="E297" s="38" t="n">
        <f aca="false">E293*E316</f>
        <v>302.4</v>
      </c>
      <c r="F297" s="38" t="n">
        <f aca="false">F293*F316</f>
        <v>453.6</v>
      </c>
      <c r="G297" s="38" t="n">
        <f aca="false">G293*G316</f>
        <v>630</v>
      </c>
      <c r="H297" s="38" t="n">
        <f aca="false">H293*H316</f>
        <v>819</v>
      </c>
      <c r="I297" s="38" t="n">
        <f aca="false">I293*I316</f>
        <v>1033.2</v>
      </c>
      <c r="J297" s="38" t="n">
        <f aca="false">J293*J316</f>
        <v>1260</v>
      </c>
      <c r="K297" s="38" t="n">
        <f aca="false">K293*K316</f>
        <v>1512</v>
      </c>
      <c r="L297" s="38" t="n">
        <f aca="false">L293*L316</f>
        <v>1764</v>
      </c>
      <c r="M297" s="38" t="n">
        <f aca="false">M293*M316</f>
        <v>2016</v>
      </c>
      <c r="N297" s="38" t="n">
        <f aca="false">N293*N316</f>
        <v>2268</v>
      </c>
      <c r="O297" s="38" t="n">
        <f aca="false">O293*O316</f>
        <v>2583</v>
      </c>
      <c r="P297" s="38" t="n">
        <f aca="false">P293*P316</f>
        <v>2835</v>
      </c>
      <c r="Q297" s="38" t="n">
        <f aca="false">Q293*Q316</f>
        <v>3087</v>
      </c>
      <c r="R297" s="38" t="n">
        <f aca="false">R293*R316</f>
        <v>3276</v>
      </c>
      <c r="S297" s="38" t="n">
        <f aca="false">S293*S316</f>
        <v>3465</v>
      </c>
      <c r="T297" s="38" t="n">
        <f aca="false">T293*T316</f>
        <v>3654</v>
      </c>
      <c r="U297" s="38" t="n">
        <f aca="false">U293*U316</f>
        <v>3843</v>
      </c>
      <c r="V297" s="38" t="n">
        <f aca="false">V293*V316</f>
        <v>3307.5</v>
      </c>
      <c r="W297" s="38" t="n">
        <f aca="false">W293*W316</f>
        <v>3412.5</v>
      </c>
      <c r="X297" s="38" t="n">
        <f aca="false">X293*X316</f>
        <v>3517.5</v>
      </c>
      <c r="Y297" s="38" t="n">
        <f aca="false">Y293*Y316</f>
        <v>3622.5</v>
      </c>
      <c r="Z297" s="38" t="n">
        <f aca="false">Z293*Z316</f>
        <v>3727.5</v>
      </c>
      <c r="AA297" s="38" t="n">
        <f aca="false">AA293*AA316</f>
        <v>3832.5</v>
      </c>
      <c r="AB297" s="38" t="n">
        <f aca="false">SUM(D297:O297)</f>
        <v>14830.2</v>
      </c>
      <c r="AC297" s="38" t="n">
        <f aca="false">SUM(P297:AA297)</f>
        <v>41580</v>
      </c>
    </row>
    <row r="298" customFormat="false" ht="15" hidden="false" customHeight="false" outlineLevel="0" collapsed="false">
      <c r="A298" s="3" t="s">
        <v>459</v>
      </c>
      <c r="B298" s="3" t="s">
        <v>62</v>
      </c>
      <c r="D298" s="60" t="n">
        <f aca="false">D293*Assumptions!$D$21</f>
        <v>126</v>
      </c>
      <c r="E298" s="60" t="n">
        <f aca="false">E293*Assumptions!$D$21</f>
        <v>201.6</v>
      </c>
      <c r="F298" s="60" t="n">
        <f aca="false">F293*Assumptions!$D$21</f>
        <v>302.4</v>
      </c>
      <c r="G298" s="60" t="n">
        <f aca="false">G293*Assumptions!$D$21</f>
        <v>420</v>
      </c>
      <c r="H298" s="60" t="n">
        <f aca="false">H293*Assumptions!$D$21</f>
        <v>546</v>
      </c>
      <c r="I298" s="60" t="n">
        <f aca="false">I293*Assumptions!$D$21</f>
        <v>688.8</v>
      </c>
      <c r="J298" s="60" t="n">
        <f aca="false">J293*Assumptions!$D$21</f>
        <v>840</v>
      </c>
      <c r="K298" s="60" t="n">
        <f aca="false">K293*Assumptions!$D$21</f>
        <v>1008</v>
      </c>
      <c r="L298" s="60" t="n">
        <f aca="false">L293*Assumptions!$D$21</f>
        <v>1176</v>
      </c>
      <c r="M298" s="60" t="n">
        <f aca="false">M293*Assumptions!$D$21</f>
        <v>1344</v>
      </c>
      <c r="N298" s="60" t="n">
        <f aca="false">N293*Assumptions!$D$21</f>
        <v>1512</v>
      </c>
      <c r="O298" s="60" t="n">
        <f aca="false">O293*Assumptions!$D$21</f>
        <v>1722</v>
      </c>
      <c r="P298" s="60" t="n">
        <f aca="false">P293*Assumptions!$D$21</f>
        <v>1890</v>
      </c>
      <c r="Q298" s="60" t="n">
        <f aca="false">Q293*Assumptions!$D$21</f>
        <v>2058</v>
      </c>
      <c r="R298" s="60" t="n">
        <f aca="false">R293*Assumptions!$D$21</f>
        <v>2184</v>
      </c>
      <c r="S298" s="60" t="n">
        <f aca="false">S293*Assumptions!$D$21</f>
        <v>2310</v>
      </c>
      <c r="T298" s="60" t="n">
        <f aca="false">T293*Assumptions!$D$21</f>
        <v>2436</v>
      </c>
      <c r="U298" s="60" t="n">
        <f aca="false">U293*Assumptions!$D$21</f>
        <v>2562</v>
      </c>
      <c r="V298" s="60" t="n">
        <f aca="false">V293*Assumptions!$D$21</f>
        <v>2646</v>
      </c>
      <c r="W298" s="60" t="n">
        <f aca="false">W293*Assumptions!$D$21</f>
        <v>2730</v>
      </c>
      <c r="X298" s="60" t="n">
        <f aca="false">X293*Assumptions!$D$21</f>
        <v>2814</v>
      </c>
      <c r="Y298" s="60" t="n">
        <f aca="false">Y293*Assumptions!$D$21</f>
        <v>2898</v>
      </c>
      <c r="Z298" s="60" t="n">
        <f aca="false">Z293*Assumptions!$D$21</f>
        <v>2982</v>
      </c>
      <c r="AA298" s="60" t="n">
        <f aca="false">AA293*Assumptions!$D$21</f>
        <v>3066</v>
      </c>
      <c r="AB298" s="38" t="n">
        <f aca="false">SUM(D298:O298)</f>
        <v>9886.8</v>
      </c>
      <c r="AC298" s="38" t="n">
        <f aca="false">SUM(P298:AA298)</f>
        <v>30576</v>
      </c>
    </row>
    <row r="299" customFormat="false" ht="15" hidden="false" customHeight="false" outlineLevel="0" collapsed="false">
      <c r="A299" s="3" t="s">
        <v>369</v>
      </c>
      <c r="B299" s="3" t="s">
        <v>62</v>
      </c>
      <c r="D299" s="38" t="n">
        <f aca="false">D293*D317</f>
        <v>1890</v>
      </c>
      <c r="E299" s="38" t="n">
        <f aca="false">E293*E317</f>
        <v>3024</v>
      </c>
      <c r="F299" s="38" t="n">
        <f aca="false">F293*F317</f>
        <v>4536</v>
      </c>
      <c r="G299" s="38" t="n">
        <f aca="false">G293*G317</f>
        <v>4620</v>
      </c>
      <c r="H299" s="38" t="n">
        <f aca="false">H293*H317</f>
        <v>6006</v>
      </c>
      <c r="I299" s="38" t="n">
        <f aca="false">I293*I317</f>
        <v>7576.8</v>
      </c>
      <c r="J299" s="38" t="n">
        <f aca="false">J293*J317</f>
        <v>6300</v>
      </c>
      <c r="K299" s="38" t="n">
        <f aca="false">K293*K317</f>
        <v>7560</v>
      </c>
      <c r="L299" s="38" t="n">
        <f aca="false">L293*L317</f>
        <v>8820</v>
      </c>
      <c r="M299" s="38" t="n">
        <f aca="false">M293*M317</f>
        <v>10080</v>
      </c>
      <c r="N299" s="38" t="n">
        <f aca="false">N293*N317</f>
        <v>11340</v>
      </c>
      <c r="O299" s="38" t="n">
        <f aca="false">O293*O317</f>
        <v>12915</v>
      </c>
      <c r="P299" s="38" t="n">
        <f aca="false">P293*P317</f>
        <v>10395</v>
      </c>
      <c r="Q299" s="38" t="n">
        <f aca="false">Q293*Q317</f>
        <v>11319</v>
      </c>
      <c r="R299" s="38" t="n">
        <f aca="false">R293*R317</f>
        <v>12012</v>
      </c>
      <c r="S299" s="38" t="n">
        <f aca="false">S293*S317</f>
        <v>12705</v>
      </c>
      <c r="T299" s="38" t="n">
        <f aca="false">T293*T317</f>
        <v>13398</v>
      </c>
      <c r="U299" s="38" t="n">
        <f aca="false">U293*U317</f>
        <v>14091</v>
      </c>
      <c r="V299" s="38" t="n">
        <f aca="false">V293*V317</f>
        <v>14553</v>
      </c>
      <c r="W299" s="38" t="n">
        <f aca="false">W293*W317</f>
        <v>15015</v>
      </c>
      <c r="X299" s="38" t="n">
        <f aca="false">X293*X317</f>
        <v>15477</v>
      </c>
      <c r="Y299" s="38" t="n">
        <f aca="false">Y293*Y317</f>
        <v>15939</v>
      </c>
      <c r="Z299" s="38" t="n">
        <f aca="false">Z293*Z317</f>
        <v>16401</v>
      </c>
      <c r="AA299" s="38" t="n">
        <f aca="false">AA293*AA317</f>
        <v>16863</v>
      </c>
      <c r="AB299" s="38" t="n">
        <f aca="false">SUM(D299:O299)</f>
        <v>84667.8</v>
      </c>
      <c r="AC299" s="38" t="n">
        <f aca="false">SUM(P299:AA299)</f>
        <v>168168</v>
      </c>
    </row>
    <row r="300" customFormat="false" ht="15" hidden="false" customHeight="false" outlineLevel="0" collapsed="false">
      <c r="A300" s="9" t="s">
        <v>460</v>
      </c>
      <c r="B300" s="3" t="s">
        <v>62</v>
      </c>
      <c r="D300" s="29" t="n">
        <f aca="false">D293-D294-D295-D296-D297-D298-D299</f>
        <v>-69</v>
      </c>
      <c r="E300" s="29" t="n">
        <f aca="false">E293-E294-E295-E296-E297-E298-E299</f>
        <v>-110.4</v>
      </c>
      <c r="F300" s="29" t="n">
        <f aca="false">F293-F294-F295-F296-F297-F298-F299</f>
        <v>-165.6</v>
      </c>
      <c r="G300" s="29" t="n">
        <f aca="false">G293-G294-G295-G296-G297-G298-G299</f>
        <v>1450</v>
      </c>
      <c r="H300" s="29" t="n">
        <f aca="false">H293-H294-H295-H296-H297-H298-H299</f>
        <v>1885</v>
      </c>
      <c r="I300" s="29" t="n">
        <f aca="false">I293-I294-I295-I296-I297-I298-I299</f>
        <v>2378</v>
      </c>
      <c r="J300" s="29" t="n">
        <f aca="false">J293-J294-J295-J296-J297-J298-J299</f>
        <v>5840</v>
      </c>
      <c r="K300" s="29" t="n">
        <f aca="false">K293-K294-K295-K296-K297-K298-K299</f>
        <v>7008</v>
      </c>
      <c r="L300" s="29" t="n">
        <f aca="false">L293-L294-L295-L296-L297-L298-L299</f>
        <v>8176</v>
      </c>
      <c r="M300" s="29" t="n">
        <f aca="false">M293-M294-M295-M296-M297-M298-M299</f>
        <v>9344</v>
      </c>
      <c r="N300" s="29" t="n">
        <f aca="false">N293-N294-N295-N296-N297-N298-N299</f>
        <v>10512</v>
      </c>
      <c r="O300" s="29" t="n">
        <f aca="false">O293-O294-O295-O296-O297-O298-O299</f>
        <v>11972</v>
      </c>
      <c r="P300" s="29" t="n">
        <f aca="false">P293-P294-P295-P296-P297-P298-P299</f>
        <v>16920</v>
      </c>
      <c r="Q300" s="29" t="n">
        <f aca="false">Q293-Q294-Q295-Q296-Q297-Q298-Q299</f>
        <v>18424</v>
      </c>
      <c r="R300" s="29" t="n">
        <f aca="false">R293-R294-R295-R296-R297-R298-R299</f>
        <v>19552</v>
      </c>
      <c r="S300" s="29" t="n">
        <f aca="false">S293-S294-S295-S296-S297-S298-S299</f>
        <v>20680</v>
      </c>
      <c r="T300" s="29" t="n">
        <f aca="false">T293-T294-T295-T296-T297-T298-T299</f>
        <v>21808</v>
      </c>
      <c r="U300" s="29" t="n">
        <f aca="false">U293-U294-U295-U296-U297-U298-U299</f>
        <v>22936</v>
      </c>
      <c r="V300" s="29" t="n">
        <f aca="false">V293-V294-V295-V296-V297-V298-V299</f>
        <v>25814.25</v>
      </c>
      <c r="W300" s="29" t="n">
        <f aca="false">W293-W294-W295-W296-W297-W298-W299</f>
        <v>26633.75</v>
      </c>
      <c r="X300" s="29" t="n">
        <f aca="false">X293-X294-X295-X296-X297-X298-X299</f>
        <v>27453.25</v>
      </c>
      <c r="Y300" s="29" t="n">
        <f aca="false">Y293-Y294-Y295-Y296-Y297-Y298-Y299</f>
        <v>28272.75</v>
      </c>
      <c r="Z300" s="29" t="n">
        <f aca="false">Z293-Z294-Z295-Z296-Z297-Z298-Z299</f>
        <v>29092.25</v>
      </c>
      <c r="AA300" s="29" t="n">
        <f aca="false">AA293-AA294-AA295-AA296-AA297-AA298-AA299</f>
        <v>29911.75</v>
      </c>
      <c r="AB300" s="29" t="n">
        <f aca="false">SUM(D300:O300)</f>
        <v>58220</v>
      </c>
      <c r="AC300" s="29" t="n">
        <f aca="false">SUM(P300:AA300)</f>
        <v>287498</v>
      </c>
    </row>
    <row r="301" customFormat="false" ht="15" hidden="false" customHeight="false" outlineLevel="0" collapsed="false">
      <c r="A301" s="3" t="s">
        <v>461</v>
      </c>
      <c r="B301" s="3" t="s">
        <v>62</v>
      </c>
      <c r="D301" s="60" t="n">
        <f aca="false">IF(D$289&gt;=Assumptions!$D$26,Assumptions!$D$45,Assumptions!$D$17)</f>
        <v>850</v>
      </c>
      <c r="E301" s="60" t="n">
        <f aca="false">IF(E$289&gt;=Assumptions!$D$26,Assumptions!$D$45,Assumptions!$D$17)</f>
        <v>850</v>
      </c>
      <c r="F301" s="60" t="n">
        <f aca="false">IF(F$289&gt;=Assumptions!$D$26,Assumptions!$D$45,Assumptions!$D$17)</f>
        <v>850</v>
      </c>
      <c r="G301" s="60" t="n">
        <f aca="false">IF(G$289&gt;=Assumptions!$D$26,Assumptions!$D$45,Assumptions!$D$17)</f>
        <v>850</v>
      </c>
      <c r="H301" s="60" t="n">
        <f aca="false">IF(H$289&gt;=Assumptions!$D$26,Assumptions!$D$45,Assumptions!$D$17)</f>
        <v>850</v>
      </c>
      <c r="I301" s="60" t="n">
        <f aca="false">IF(I$289&gt;=Assumptions!$D$26,Assumptions!$D$45,Assumptions!$D$17)</f>
        <v>850</v>
      </c>
      <c r="J301" s="60" t="n">
        <f aca="false">IF(J$289&gt;=Assumptions!$D$26,Assumptions!$D$45,Assumptions!$D$17)</f>
        <v>850</v>
      </c>
      <c r="K301" s="60" t="n">
        <f aca="false">IF(K$289&gt;=Assumptions!$D$26,Assumptions!$D$45,Assumptions!$D$17)</f>
        <v>850</v>
      </c>
      <c r="L301" s="60" t="n">
        <f aca="false">IF(L$289&gt;=Assumptions!$D$26,Assumptions!$D$45,Assumptions!$D$17)</f>
        <v>850</v>
      </c>
      <c r="M301" s="60" t="n">
        <f aca="false">IF(M$289&gt;=Assumptions!$D$26,Assumptions!$D$45,Assumptions!$D$17)</f>
        <v>850</v>
      </c>
      <c r="N301" s="60" t="n">
        <f aca="false">IF(N$289&gt;=Assumptions!$D$26,Assumptions!$D$45,Assumptions!$D$17)</f>
        <v>850</v>
      </c>
      <c r="O301" s="60" t="n">
        <f aca="false">IF(O$289&gt;=Assumptions!$D$26,Assumptions!$D$45,Assumptions!$D$17)</f>
        <v>850</v>
      </c>
      <c r="P301" s="60" t="n">
        <f aca="false">IF(P$289&gt;=Assumptions!$D$26,Assumptions!$D$45,Assumptions!$D$17)</f>
        <v>850</v>
      </c>
      <c r="Q301" s="60" t="n">
        <f aca="false">IF(Q$289&gt;=Assumptions!$D$26,Assumptions!$D$45,Assumptions!$D$17)</f>
        <v>850</v>
      </c>
      <c r="R301" s="60" t="n">
        <f aca="false">IF(R$289&gt;=Assumptions!$D$26,Assumptions!$D$45,Assumptions!$D$17)</f>
        <v>850</v>
      </c>
      <c r="S301" s="60" t="n">
        <f aca="false">IF(S$289&gt;=Assumptions!$D$26,Assumptions!$D$45,Assumptions!$D$17)</f>
        <v>850</v>
      </c>
      <c r="T301" s="60" t="n">
        <f aca="false">IF(T$289&gt;=Assumptions!$D$26,Assumptions!$D$45,Assumptions!$D$17)</f>
        <v>850</v>
      </c>
      <c r="U301" s="60" t="n">
        <f aca="false">IF(U$289&gt;=Assumptions!$D$26,Assumptions!$D$45,Assumptions!$D$17)</f>
        <v>850</v>
      </c>
      <c r="V301" s="60" t="n">
        <f aca="false">IF(V$289&gt;=Assumptions!$D$26,Assumptions!$D$45,Assumptions!$D$17)</f>
        <v>1500</v>
      </c>
      <c r="W301" s="60" t="n">
        <f aca="false">IF(W$289&gt;=Assumptions!$D$26,Assumptions!$D$45,Assumptions!$D$17)</f>
        <v>1500</v>
      </c>
      <c r="X301" s="60" t="n">
        <f aca="false">IF(X$289&gt;=Assumptions!$D$26,Assumptions!$D$45,Assumptions!$D$17)</f>
        <v>1500</v>
      </c>
      <c r="Y301" s="60" t="n">
        <f aca="false">IF(Y$289&gt;=Assumptions!$D$26,Assumptions!$D$45,Assumptions!$D$17)</f>
        <v>1500</v>
      </c>
      <c r="Z301" s="60" t="n">
        <f aca="false">IF(Z$289&gt;=Assumptions!$D$26,Assumptions!$D$45,Assumptions!$D$17)</f>
        <v>1500</v>
      </c>
      <c r="AA301" s="60" t="n">
        <f aca="false">IF(AA$289&gt;=Assumptions!$D$26,Assumptions!$D$45,Assumptions!$D$17)</f>
        <v>1500</v>
      </c>
      <c r="AB301" s="38" t="n">
        <f aca="false">SUM(D301:O301)</f>
        <v>10200</v>
      </c>
      <c r="AC301" s="38" t="n">
        <f aca="false">SUM(P301:AA301)</f>
        <v>14100</v>
      </c>
    </row>
    <row r="302" customFormat="false" ht="15" hidden="false" customHeight="false" outlineLevel="0" collapsed="false">
      <c r="A302" s="3" t="s">
        <v>462</v>
      </c>
      <c r="B302" s="3" t="s">
        <v>62</v>
      </c>
      <c r="D302" s="60" t="n">
        <f aca="false">Assumptions!$D$22</f>
        <v>39.99</v>
      </c>
      <c r="E302" s="60" t="n">
        <f aca="false">Assumptions!$D$22</f>
        <v>39.99</v>
      </c>
      <c r="F302" s="60" t="n">
        <f aca="false">Assumptions!$D$22</f>
        <v>39.99</v>
      </c>
      <c r="G302" s="60" t="n">
        <f aca="false">Assumptions!$D$22</f>
        <v>39.99</v>
      </c>
      <c r="H302" s="60" t="n">
        <f aca="false">Assumptions!$D$22</f>
        <v>39.99</v>
      </c>
      <c r="I302" s="60" t="n">
        <f aca="false">Assumptions!$D$22</f>
        <v>39.99</v>
      </c>
      <c r="J302" s="60" t="n">
        <f aca="false">Assumptions!$D$22</f>
        <v>39.99</v>
      </c>
      <c r="K302" s="60" t="n">
        <f aca="false">Assumptions!$D$22</f>
        <v>39.99</v>
      </c>
      <c r="L302" s="60" t="n">
        <f aca="false">Assumptions!$D$22</f>
        <v>39.99</v>
      </c>
      <c r="M302" s="60" t="n">
        <f aca="false">Assumptions!$D$22</f>
        <v>39.99</v>
      </c>
      <c r="N302" s="60" t="n">
        <f aca="false">Assumptions!$D$22</f>
        <v>39.99</v>
      </c>
      <c r="O302" s="60" t="n">
        <f aca="false">Assumptions!$D$22</f>
        <v>39.99</v>
      </c>
      <c r="P302" s="60" t="n">
        <f aca="false">Assumptions!$D$22</f>
        <v>39.99</v>
      </c>
      <c r="Q302" s="60" t="n">
        <f aca="false">Assumptions!$D$22</f>
        <v>39.99</v>
      </c>
      <c r="R302" s="60" t="n">
        <f aca="false">Assumptions!$D$22</f>
        <v>39.99</v>
      </c>
      <c r="S302" s="60" t="n">
        <f aca="false">Assumptions!$D$22</f>
        <v>39.99</v>
      </c>
      <c r="T302" s="60" t="n">
        <f aca="false">Assumptions!$D$22</f>
        <v>39.99</v>
      </c>
      <c r="U302" s="60" t="n">
        <f aca="false">Assumptions!$D$22</f>
        <v>39.99</v>
      </c>
      <c r="V302" s="60" t="n">
        <f aca="false">Assumptions!$D$22</f>
        <v>39.99</v>
      </c>
      <c r="W302" s="60" t="n">
        <f aca="false">Assumptions!$D$22</f>
        <v>39.99</v>
      </c>
      <c r="X302" s="60" t="n">
        <f aca="false">Assumptions!$D$22</f>
        <v>39.99</v>
      </c>
      <c r="Y302" s="60" t="n">
        <f aca="false">Assumptions!$D$22</f>
        <v>39.99</v>
      </c>
      <c r="Z302" s="60" t="n">
        <f aca="false">Assumptions!$D$22</f>
        <v>39.99</v>
      </c>
      <c r="AA302" s="60" t="n">
        <f aca="false">Assumptions!$D$22</f>
        <v>39.99</v>
      </c>
      <c r="AB302" s="38" t="n">
        <f aca="false">SUM(D302:O302)</f>
        <v>479.88</v>
      </c>
      <c r="AC302" s="38" t="n">
        <f aca="false">SUM(P302:AA302)</f>
        <v>479.88</v>
      </c>
    </row>
    <row r="303" customFormat="false" ht="15" hidden="false" customHeight="false" outlineLevel="0" collapsed="false">
      <c r="A303" s="3" t="s">
        <v>463</v>
      </c>
      <c r="B303" s="3" t="s">
        <v>62</v>
      </c>
      <c r="D303" s="60" t="n">
        <f aca="false">IF(D$289=1,Assumptions!$D$23,0)</f>
        <v>9500</v>
      </c>
      <c r="E303" s="60" t="n">
        <f aca="false">IF(E$289=1,Assumptions!$D$23,0)</f>
        <v>0</v>
      </c>
      <c r="F303" s="60" t="n">
        <f aca="false">IF(F$289=1,Assumptions!$D$23,0)</f>
        <v>0</v>
      </c>
      <c r="G303" s="60" t="n">
        <f aca="false">IF(G$289=1,Assumptions!$D$23,0)</f>
        <v>0</v>
      </c>
      <c r="H303" s="60" t="n">
        <f aca="false">IF(H$289=1,Assumptions!$D$23,0)</f>
        <v>0</v>
      </c>
      <c r="I303" s="60" t="n">
        <f aca="false">IF(I$289=1,Assumptions!$D$23,0)</f>
        <v>0</v>
      </c>
      <c r="J303" s="60" t="n">
        <f aca="false">IF(J$289=1,Assumptions!$D$23,0)</f>
        <v>0</v>
      </c>
      <c r="K303" s="60" t="n">
        <f aca="false">IF(K$289=1,Assumptions!$D$23,0)</f>
        <v>0</v>
      </c>
      <c r="L303" s="60" t="n">
        <f aca="false">IF(L$289=1,Assumptions!$D$23,0)</f>
        <v>0</v>
      </c>
      <c r="M303" s="60" t="n">
        <f aca="false">IF(M$289=1,Assumptions!$D$23,0)</f>
        <v>0</v>
      </c>
      <c r="N303" s="60" t="n">
        <f aca="false">IF(N$289=1,Assumptions!$D$23,0)</f>
        <v>0</v>
      </c>
      <c r="O303" s="60" t="n">
        <f aca="false">IF(O$289=1,Assumptions!$D$23,0)</f>
        <v>0</v>
      </c>
      <c r="P303" s="60" t="n">
        <f aca="false">IF(P$289=1,Assumptions!$D$23,0)</f>
        <v>0</v>
      </c>
      <c r="Q303" s="60" t="n">
        <f aca="false">IF(Q$289=1,Assumptions!$D$23,0)</f>
        <v>0</v>
      </c>
      <c r="R303" s="60" t="n">
        <f aca="false">IF(R$289=1,Assumptions!$D$23,0)</f>
        <v>0</v>
      </c>
      <c r="S303" s="60" t="n">
        <f aca="false">IF(S$289=1,Assumptions!$D$23,0)</f>
        <v>0</v>
      </c>
      <c r="T303" s="60" t="n">
        <f aca="false">IF(T$289=1,Assumptions!$D$23,0)</f>
        <v>0</v>
      </c>
      <c r="U303" s="60" t="n">
        <f aca="false">IF(U$289=1,Assumptions!$D$23,0)</f>
        <v>0</v>
      </c>
      <c r="V303" s="60" t="n">
        <f aca="false">IF(V$289=1,Assumptions!$D$23,0)</f>
        <v>0</v>
      </c>
      <c r="W303" s="60" t="n">
        <f aca="false">IF(W$289=1,Assumptions!$D$23,0)</f>
        <v>0</v>
      </c>
      <c r="X303" s="60" t="n">
        <f aca="false">IF(X$289=1,Assumptions!$D$23,0)</f>
        <v>0</v>
      </c>
      <c r="Y303" s="60" t="n">
        <f aca="false">IF(Y$289=1,Assumptions!$D$23,0)</f>
        <v>0</v>
      </c>
      <c r="Z303" s="60" t="n">
        <f aca="false">IF(Z$289=1,Assumptions!$D$23,0)</f>
        <v>0</v>
      </c>
      <c r="AA303" s="60" t="n">
        <f aca="false">IF(AA$289=1,Assumptions!$D$23,0)</f>
        <v>0</v>
      </c>
      <c r="AB303" s="38" t="n">
        <f aca="false">SUM(D303:O303)</f>
        <v>9500</v>
      </c>
      <c r="AC303" s="38" t="n">
        <f aca="false">SUM(P303:AA303)</f>
        <v>0</v>
      </c>
    </row>
    <row r="304" customFormat="false" ht="15" hidden="false" customHeight="false" outlineLevel="0" collapsed="false">
      <c r="A304" s="3" t="s">
        <v>464</v>
      </c>
      <c r="B304" s="3" t="s">
        <v>62</v>
      </c>
      <c r="D304" s="60" t="n">
        <f aca="false">IF(D$289&gt;=Assumptions!$D$26,(Assumptions!$D$94+Assumptions!$D$95+Assumptions!$D$96+Assumptions!$D$97)/(24-Assumptions!$D$26+1),0)</f>
        <v>0</v>
      </c>
      <c r="E304" s="60" t="n">
        <f aca="false">IF(E$289&gt;=Assumptions!$D$26,(Assumptions!$D$94+Assumptions!$D$95+Assumptions!$D$96+Assumptions!$D$97)/(24-Assumptions!$D$26+1),0)</f>
        <v>0</v>
      </c>
      <c r="F304" s="60" t="n">
        <f aca="false">IF(F$289&gt;=Assumptions!$D$26,(Assumptions!$D$94+Assumptions!$D$95+Assumptions!$D$96+Assumptions!$D$97)/(24-Assumptions!$D$26+1),0)</f>
        <v>0</v>
      </c>
      <c r="G304" s="60" t="n">
        <f aca="false">IF(G$289&gt;=Assumptions!$D$26,(Assumptions!$D$94+Assumptions!$D$95+Assumptions!$D$96+Assumptions!$D$97)/(24-Assumptions!$D$26+1),0)</f>
        <v>0</v>
      </c>
      <c r="H304" s="60" t="n">
        <f aca="false">IF(H$289&gt;=Assumptions!$D$26,(Assumptions!$D$94+Assumptions!$D$95+Assumptions!$D$96+Assumptions!$D$97)/(24-Assumptions!$D$26+1),0)</f>
        <v>0</v>
      </c>
      <c r="I304" s="60" t="n">
        <f aca="false">IF(I$289&gt;=Assumptions!$D$26,(Assumptions!$D$94+Assumptions!$D$95+Assumptions!$D$96+Assumptions!$D$97)/(24-Assumptions!$D$26+1),0)</f>
        <v>0</v>
      </c>
      <c r="J304" s="60" t="n">
        <f aca="false">IF(J$289&gt;=Assumptions!$D$26,(Assumptions!$D$94+Assumptions!$D$95+Assumptions!$D$96+Assumptions!$D$97)/(24-Assumptions!$D$26+1),0)</f>
        <v>0</v>
      </c>
      <c r="K304" s="60" t="n">
        <f aca="false">IF(K$289&gt;=Assumptions!$D$26,(Assumptions!$D$94+Assumptions!$D$95+Assumptions!$D$96+Assumptions!$D$97)/(24-Assumptions!$D$26+1),0)</f>
        <v>0</v>
      </c>
      <c r="L304" s="60" t="n">
        <f aca="false">IF(L$289&gt;=Assumptions!$D$26,(Assumptions!$D$94+Assumptions!$D$95+Assumptions!$D$96+Assumptions!$D$97)/(24-Assumptions!$D$26+1),0)</f>
        <v>0</v>
      </c>
      <c r="M304" s="60" t="n">
        <f aca="false">IF(M$289&gt;=Assumptions!$D$26,(Assumptions!$D$94+Assumptions!$D$95+Assumptions!$D$96+Assumptions!$D$97)/(24-Assumptions!$D$26+1),0)</f>
        <v>0</v>
      </c>
      <c r="N304" s="60" t="n">
        <f aca="false">IF(N$289&gt;=Assumptions!$D$26,(Assumptions!$D$94+Assumptions!$D$95+Assumptions!$D$96+Assumptions!$D$97)/(24-Assumptions!$D$26+1),0)</f>
        <v>0</v>
      </c>
      <c r="O304" s="60" t="n">
        <f aca="false">IF(O$289&gt;=Assumptions!$D$26,(Assumptions!$D$94+Assumptions!$D$95+Assumptions!$D$96+Assumptions!$D$97)/(24-Assumptions!$D$26+1),0)</f>
        <v>0</v>
      </c>
      <c r="P304" s="60" t="n">
        <f aca="false">IF(P$289&gt;=Assumptions!$D$26,(Assumptions!$D$94+Assumptions!$D$95+Assumptions!$D$96+Assumptions!$D$97)/(24-Assumptions!$D$26+1),0)</f>
        <v>0</v>
      </c>
      <c r="Q304" s="60" t="n">
        <f aca="false">IF(Q$289&gt;=Assumptions!$D$26,(Assumptions!$D$94+Assumptions!$D$95+Assumptions!$D$96+Assumptions!$D$97)/(24-Assumptions!$D$26+1),0)</f>
        <v>0</v>
      </c>
      <c r="R304" s="60" t="n">
        <f aca="false">IF(R$289&gt;=Assumptions!$D$26,(Assumptions!$D$94+Assumptions!$D$95+Assumptions!$D$96+Assumptions!$D$97)/(24-Assumptions!$D$26+1),0)</f>
        <v>0</v>
      </c>
      <c r="S304" s="60" t="n">
        <f aca="false">IF(S$289&gt;=Assumptions!$D$26,(Assumptions!$D$94+Assumptions!$D$95+Assumptions!$D$96+Assumptions!$D$97)/(24-Assumptions!$D$26+1),0)</f>
        <v>0</v>
      </c>
      <c r="T304" s="60" t="n">
        <f aca="false">IF(T$289&gt;=Assumptions!$D$26,(Assumptions!$D$94+Assumptions!$D$95+Assumptions!$D$96+Assumptions!$D$97)/(24-Assumptions!$D$26+1),0)</f>
        <v>0</v>
      </c>
      <c r="U304" s="60" t="n">
        <f aca="false">IF(U$289&gt;=Assumptions!$D$26,(Assumptions!$D$94+Assumptions!$D$95+Assumptions!$D$96+Assumptions!$D$97)/(24-Assumptions!$D$26+1),0)</f>
        <v>0</v>
      </c>
      <c r="V304" s="60" t="n">
        <f aca="false">IF(V$289&gt;=Assumptions!$D$26,(Assumptions!$D$94+Assumptions!$D$95+Assumptions!$D$96+Assumptions!$D$97)/(24-Assumptions!$D$26+1),0)</f>
        <v>426.666666666667</v>
      </c>
      <c r="W304" s="60" t="n">
        <f aca="false">IF(W$289&gt;=Assumptions!$D$26,(Assumptions!$D$94+Assumptions!$D$95+Assumptions!$D$96+Assumptions!$D$97)/(24-Assumptions!$D$26+1),0)</f>
        <v>426.666666666667</v>
      </c>
      <c r="X304" s="60" t="n">
        <f aca="false">IF(X$289&gt;=Assumptions!$D$26,(Assumptions!$D$94+Assumptions!$D$95+Assumptions!$D$96+Assumptions!$D$97)/(24-Assumptions!$D$26+1),0)</f>
        <v>426.666666666667</v>
      </c>
      <c r="Y304" s="60" t="n">
        <f aca="false">IF(Y$289&gt;=Assumptions!$D$26,(Assumptions!$D$94+Assumptions!$D$95+Assumptions!$D$96+Assumptions!$D$97)/(24-Assumptions!$D$26+1),0)</f>
        <v>426.666666666667</v>
      </c>
      <c r="Z304" s="60" t="n">
        <f aca="false">IF(Z$289&gt;=Assumptions!$D$26,(Assumptions!$D$94+Assumptions!$D$95+Assumptions!$D$96+Assumptions!$D$97)/(24-Assumptions!$D$26+1),0)</f>
        <v>426.666666666667</v>
      </c>
      <c r="AA304" s="60" t="n">
        <f aca="false">IF(AA$289&gt;=Assumptions!$D$26,(Assumptions!$D$94+Assumptions!$D$95+Assumptions!$D$96+Assumptions!$D$97)/(24-Assumptions!$D$26+1),0)</f>
        <v>426.666666666667</v>
      </c>
      <c r="AB304" s="38" t="n">
        <f aca="false">SUM(D304:O304)</f>
        <v>0</v>
      </c>
      <c r="AC304" s="38" t="n">
        <f aca="false">SUM(P304:AA304)</f>
        <v>2560</v>
      </c>
    </row>
    <row r="305" customFormat="false" ht="15" hidden="false" customHeight="false" outlineLevel="0" collapsed="false">
      <c r="A305" s="9" t="s">
        <v>465</v>
      </c>
      <c r="B305" s="3" t="s">
        <v>62</v>
      </c>
      <c r="D305" s="29" t="n">
        <f aca="false">D300-D301-D302-D303-D304</f>
        <v>-10458.99</v>
      </c>
      <c r="E305" s="29" t="n">
        <f aca="false">E300-E301-E302-E303-E304</f>
        <v>-1000.39</v>
      </c>
      <c r="F305" s="29" t="n">
        <f aca="false">F300-F301-F302-F303-F304</f>
        <v>-1055.59</v>
      </c>
      <c r="G305" s="29" t="n">
        <f aca="false">G300-G301-G302-G303-G304</f>
        <v>560.01</v>
      </c>
      <c r="H305" s="29" t="n">
        <f aca="false">H300-H301-H302-H303-H304</f>
        <v>995.01</v>
      </c>
      <c r="I305" s="29" t="n">
        <f aca="false">I300-I301-I302-I303-I304</f>
        <v>1488.01</v>
      </c>
      <c r="J305" s="29" t="n">
        <f aca="false">J300-J301-J302-J303-J304</f>
        <v>4950.01</v>
      </c>
      <c r="K305" s="29" t="n">
        <f aca="false">K300-K301-K302-K303-K304</f>
        <v>6118.01</v>
      </c>
      <c r="L305" s="29" t="n">
        <f aca="false">L300-L301-L302-L303-L304</f>
        <v>7286.01</v>
      </c>
      <c r="M305" s="29" t="n">
        <f aca="false">M300-M301-M302-M303-M304</f>
        <v>8454.01</v>
      </c>
      <c r="N305" s="29" t="n">
        <f aca="false">N300-N301-N302-N303-N304</f>
        <v>9622.01</v>
      </c>
      <c r="O305" s="29" t="n">
        <f aca="false">O300-O301-O302-O303-O304</f>
        <v>11082.01</v>
      </c>
      <c r="P305" s="29" t="n">
        <f aca="false">P300-P301-P302-P303-P304</f>
        <v>16030.01</v>
      </c>
      <c r="Q305" s="29" t="n">
        <f aca="false">Q300-Q301-Q302-Q303-Q304</f>
        <v>17534.01</v>
      </c>
      <c r="R305" s="29" t="n">
        <f aca="false">R300-R301-R302-R303-R304</f>
        <v>18662.01</v>
      </c>
      <c r="S305" s="29" t="n">
        <f aca="false">S300-S301-S302-S303-S304</f>
        <v>19790.01</v>
      </c>
      <c r="T305" s="29" t="n">
        <f aca="false">T300-T301-T302-T303-T304</f>
        <v>20918.01</v>
      </c>
      <c r="U305" s="29" t="n">
        <f aca="false">U300-U301-U302-U303-U304</f>
        <v>22046.01</v>
      </c>
      <c r="V305" s="29" t="n">
        <f aca="false">V300-V301-V302-V303-V304</f>
        <v>23847.5933333333</v>
      </c>
      <c r="W305" s="29" t="n">
        <f aca="false">W300-W301-W302-W303-W304</f>
        <v>24667.0933333333</v>
      </c>
      <c r="X305" s="29" t="n">
        <f aca="false">X300-X301-X302-X303-X304</f>
        <v>25486.5933333333</v>
      </c>
      <c r="Y305" s="29" t="n">
        <f aca="false">Y300-Y301-Y302-Y303-Y304</f>
        <v>26306.0933333333</v>
      </c>
      <c r="Z305" s="29" t="n">
        <f aca="false">Z300-Z301-Z302-Z303-Z304</f>
        <v>27125.5933333333</v>
      </c>
      <c r="AA305" s="29" t="n">
        <f aca="false">AA300-AA301-AA302-AA303-AA304</f>
        <v>27945.0933333333</v>
      </c>
      <c r="AB305" s="29" t="n">
        <f aca="false">SUM(D305:O305)</f>
        <v>38040.12</v>
      </c>
      <c r="AC305" s="29" t="n">
        <f aca="false">SUM(P305:AA305)</f>
        <v>270358.12</v>
      </c>
    </row>
    <row r="306" customFormat="false" ht="15" hidden="false" customHeight="false" outlineLevel="0" collapsed="false">
      <c r="A306" s="3" t="s">
        <v>466</v>
      </c>
      <c r="B306" s="3" t="s">
        <v>62</v>
      </c>
      <c r="D306" s="38" t="n">
        <f aca="false">D305</f>
        <v>-10458.99</v>
      </c>
      <c r="E306" s="38" t="n">
        <f aca="false">D306+E305</f>
        <v>-11459.38</v>
      </c>
      <c r="F306" s="38" t="n">
        <f aca="false">E306+F305</f>
        <v>-12514.97</v>
      </c>
      <c r="G306" s="38" t="n">
        <f aca="false">F306+G305</f>
        <v>-11954.96</v>
      </c>
      <c r="H306" s="38" t="n">
        <f aca="false">G306+H305</f>
        <v>-10959.95</v>
      </c>
      <c r="I306" s="38" t="n">
        <f aca="false">H306+I305</f>
        <v>-9471.94</v>
      </c>
      <c r="J306" s="38" t="n">
        <f aca="false">I306+J305</f>
        <v>-4521.93</v>
      </c>
      <c r="K306" s="38" t="n">
        <f aca="false">J306+K305</f>
        <v>1596.08</v>
      </c>
      <c r="L306" s="38" t="n">
        <f aca="false">K306+L305</f>
        <v>8882.09</v>
      </c>
      <c r="M306" s="38" t="n">
        <f aca="false">L306+M305</f>
        <v>17336.1</v>
      </c>
      <c r="N306" s="38" t="n">
        <f aca="false">M306+N305</f>
        <v>26958.11</v>
      </c>
      <c r="O306" s="38" t="n">
        <f aca="false">N306+O305</f>
        <v>38040.12</v>
      </c>
      <c r="P306" s="38" t="n">
        <f aca="false">O306+P305</f>
        <v>54070.13</v>
      </c>
      <c r="Q306" s="38" t="n">
        <f aca="false">P306+Q305</f>
        <v>71604.14</v>
      </c>
      <c r="R306" s="38" t="n">
        <f aca="false">Q306+R305</f>
        <v>90266.15</v>
      </c>
      <c r="S306" s="38" t="n">
        <f aca="false">R306+S305</f>
        <v>110056.16</v>
      </c>
      <c r="T306" s="38" t="n">
        <f aca="false">S306+T305</f>
        <v>130974.17</v>
      </c>
      <c r="U306" s="38" t="n">
        <f aca="false">T306+U305</f>
        <v>153020.18</v>
      </c>
      <c r="V306" s="38" t="n">
        <f aca="false">U306+V305</f>
        <v>176867.773333333</v>
      </c>
      <c r="W306" s="38" t="n">
        <f aca="false">V306+W305</f>
        <v>201534.866666667</v>
      </c>
      <c r="X306" s="38" t="n">
        <f aca="false">W306+X305</f>
        <v>227021.46</v>
      </c>
      <c r="Y306" s="38" t="n">
        <f aca="false">X306+Y305</f>
        <v>253327.553333333</v>
      </c>
      <c r="Z306" s="38" t="n">
        <f aca="false">Y306+Z305</f>
        <v>280453.146666667</v>
      </c>
      <c r="AA306" s="38" t="n">
        <f aca="false">Z306+AA305</f>
        <v>308398.24</v>
      </c>
      <c r="AB306" s="38" t="n">
        <f aca="false">O306</f>
        <v>38040.12</v>
      </c>
      <c r="AC306" s="38" t="n">
        <f aca="false">AA306</f>
        <v>308398.24</v>
      </c>
    </row>
    <row r="307" customFormat="false" ht="15" hidden="false" customHeight="false" outlineLevel="0" collapsed="false">
      <c r="A307" s="3" t="s">
        <v>467</v>
      </c>
      <c r="B307" s="3" t="s">
        <v>66</v>
      </c>
      <c r="D307" s="34" t="n">
        <f aca="false">IF(D293=0,0,D305/D293)</f>
        <v>-1.66015714285714</v>
      </c>
      <c r="E307" s="34" t="n">
        <f aca="false">IF(E293=0,0,E305/E293)</f>
        <v>-0.0992450396825396</v>
      </c>
      <c r="F307" s="34" t="n">
        <f aca="false">IF(F293=0,0,F305/F293)</f>
        <v>-0.0698141534391535</v>
      </c>
      <c r="G307" s="34" t="n">
        <f aca="false">IF(G293=0,0,G305/G293)</f>
        <v>0.0266671428571429</v>
      </c>
      <c r="H307" s="34" t="n">
        <f aca="false">IF(H293=0,0,H305/H293)</f>
        <v>0.0364472527472527</v>
      </c>
      <c r="I307" s="34" t="n">
        <f aca="false">IF(I293=0,0,I305/I293)</f>
        <v>0.0432058652729384</v>
      </c>
      <c r="J307" s="34" t="n">
        <f aca="false">IF(J293=0,0,J305/J293)</f>
        <v>0.117857380952381</v>
      </c>
      <c r="K307" s="34" t="n">
        <f aca="false">IF(K293=0,0,K305/K293)</f>
        <v>0.121389087301587</v>
      </c>
      <c r="L307" s="34" t="n">
        <f aca="false">IF(L293=0,0,L305/L293)</f>
        <v>0.123911734693878</v>
      </c>
      <c r="M307" s="34" t="n">
        <f aca="false">IF(M293=0,0,M305/M293)</f>
        <v>0.125803720238095</v>
      </c>
      <c r="N307" s="34" t="n">
        <f aca="false">IF(N293=0,0,N305/N293)</f>
        <v>0.127275264550265</v>
      </c>
      <c r="O307" s="34" t="n">
        <f aca="false">IF(O293=0,0,O305/O293)</f>
        <v>0.128710917537747</v>
      </c>
      <c r="P307" s="34" t="n">
        <f aca="false">IF(P293=0,0,P305/P293)</f>
        <v>0.169629735449735</v>
      </c>
      <c r="Q307" s="34" t="n">
        <f aca="false">IF(Q293=0,0,Q305/Q293)</f>
        <v>0.170398542274052</v>
      </c>
      <c r="R307" s="34" t="n">
        <f aca="false">IF(R293=0,0,R305/R293)</f>
        <v>0.170897527472527</v>
      </c>
      <c r="S307" s="34" t="n">
        <f aca="false">IF(S293=0,0,S305/S293)</f>
        <v>0.171342077922078</v>
      </c>
      <c r="T307" s="34" t="n">
        <f aca="false">IF(T293=0,0,T305/T293)</f>
        <v>0.171740640394089</v>
      </c>
      <c r="U307" s="34" t="n">
        <f aca="false">IF(U293=0,0,U305/U293)</f>
        <v>0.1721</v>
      </c>
      <c r="V307" s="34" t="n">
        <f aca="false">IF(V293=0,0,V305/V293)</f>
        <v>0.180253917863442</v>
      </c>
      <c r="W307" s="34" t="n">
        <f aca="false">IF(W293=0,0,W305/W293)</f>
        <v>0.180711306471306</v>
      </c>
      <c r="X307" s="34" t="n">
        <f aca="false">IF(X293=0,0,X305/X293)</f>
        <v>0.181141388296612</v>
      </c>
      <c r="Y307" s="34" t="n">
        <f aca="false">IF(Y293=0,0,Y305/Y293)</f>
        <v>0.18154653784219</v>
      </c>
      <c r="Z307" s="34" t="n">
        <f aca="false">IF(Z293=0,0,Z305/Z293)</f>
        <v>0.181928862061256</v>
      </c>
      <c r="AA307" s="34" t="n">
        <f aca="false">IF(AA293=0,0,AA305/AA293)</f>
        <v>0.182290237008045</v>
      </c>
      <c r="AB307" s="34" t="n">
        <f aca="false">IF(AB293=0,0,AB305/AB293)</f>
        <v>0.076951329044787</v>
      </c>
      <c r="AC307" s="34" t="n">
        <f aca="false">IF(AC293=0,0,AC305/AC293)</f>
        <v>0.176843354264783</v>
      </c>
    </row>
    <row r="308" customFormat="false" ht="15" hidden="false" customHeight="false" outlineLevel="0" collapsed="false">
      <c r="A308" s="3" t="s">
        <v>468</v>
      </c>
      <c r="B308" s="3" t="s">
        <v>66</v>
      </c>
      <c r="D308" s="34" t="n">
        <f aca="false">IF(D293=0,0,D299/D293)</f>
        <v>0.3</v>
      </c>
      <c r="E308" s="34" t="n">
        <f aca="false">IF(E293=0,0,E299/E293)</f>
        <v>0.3</v>
      </c>
      <c r="F308" s="34" t="n">
        <f aca="false">IF(F293=0,0,F299/F293)</f>
        <v>0.3</v>
      </c>
      <c r="G308" s="34" t="n">
        <f aca="false">IF(G293=0,0,G299/G293)</f>
        <v>0.22</v>
      </c>
      <c r="H308" s="34" t="n">
        <f aca="false">IF(H293=0,0,H299/H293)</f>
        <v>0.22</v>
      </c>
      <c r="I308" s="34" t="n">
        <f aca="false">IF(I293=0,0,I299/I293)</f>
        <v>0.22</v>
      </c>
      <c r="J308" s="34" t="n">
        <f aca="false">IF(J293=0,0,J299/J293)</f>
        <v>0.15</v>
      </c>
      <c r="K308" s="34" t="n">
        <f aca="false">IF(K293=0,0,K299/K293)</f>
        <v>0.15</v>
      </c>
      <c r="L308" s="34" t="n">
        <f aca="false">IF(L293=0,0,L299/L293)</f>
        <v>0.15</v>
      </c>
      <c r="M308" s="34" t="n">
        <f aca="false">IF(M293=0,0,M299/M293)</f>
        <v>0.15</v>
      </c>
      <c r="N308" s="34" t="n">
        <f aca="false">IF(N293=0,0,N299/N293)</f>
        <v>0.15</v>
      </c>
      <c r="O308" s="34" t="n">
        <f aca="false">IF(O293=0,0,O299/O293)</f>
        <v>0.15</v>
      </c>
      <c r="P308" s="34" t="n">
        <f aca="false">IF(P293=0,0,P299/P293)</f>
        <v>0.11</v>
      </c>
      <c r="Q308" s="34" t="n">
        <f aca="false">IF(Q293=0,0,Q299/Q293)</f>
        <v>0.11</v>
      </c>
      <c r="R308" s="34" t="n">
        <f aca="false">IF(R293=0,0,R299/R293)</f>
        <v>0.11</v>
      </c>
      <c r="S308" s="34" t="n">
        <f aca="false">IF(S293=0,0,S299/S293)</f>
        <v>0.11</v>
      </c>
      <c r="T308" s="34" t="n">
        <f aca="false">IF(T293=0,0,T299/T293)</f>
        <v>0.11</v>
      </c>
      <c r="U308" s="34" t="n">
        <f aca="false">IF(U293=0,0,U299/U293)</f>
        <v>0.11</v>
      </c>
      <c r="V308" s="34" t="n">
        <f aca="false">IF(V293=0,0,V299/V293)</f>
        <v>0.11</v>
      </c>
      <c r="W308" s="34" t="n">
        <f aca="false">IF(W293=0,0,W299/W293)</f>
        <v>0.11</v>
      </c>
      <c r="X308" s="34" t="n">
        <f aca="false">IF(X293=0,0,X299/X293)</f>
        <v>0.11</v>
      </c>
      <c r="Y308" s="34" t="n">
        <f aca="false">IF(Y293=0,0,Y299/Y293)</f>
        <v>0.11</v>
      </c>
      <c r="Z308" s="34" t="n">
        <f aca="false">IF(Z293=0,0,Z299/Z293)</f>
        <v>0.11</v>
      </c>
      <c r="AA308" s="34" t="n">
        <f aca="false">IF(AA293=0,0,AA299/AA293)</f>
        <v>0.11</v>
      </c>
      <c r="AB308" s="34" t="n">
        <f aca="false">IF(AB293=0,0,AB299/AB293)</f>
        <v>0.171274426508071</v>
      </c>
      <c r="AC308" s="34" t="n">
        <f aca="false">IF(AC293=0,0,AC299/AC293)</f>
        <v>0.11</v>
      </c>
    </row>
    <row r="309" customFormat="false" ht="15" hidden="false" customHeight="false" outlineLevel="0" collapsed="false">
      <c r="A309" s="3" t="s">
        <v>375</v>
      </c>
      <c r="B309" s="3" t="s">
        <v>454</v>
      </c>
      <c r="D309" s="40" t="n">
        <f aca="false">IF(D291=0,0,(D300+D299)/D291)</f>
        <v>12.14</v>
      </c>
      <c r="E309" s="40" t="n">
        <f aca="false">IF(E291=0,0,(E300+E299)/E291)</f>
        <v>12.14</v>
      </c>
      <c r="F309" s="40" t="n">
        <f aca="false">IF(F291=0,0,(F300+F299)/F291)</f>
        <v>12.14</v>
      </c>
      <c r="G309" s="40" t="n">
        <f aca="false">IF(G291=0,0,(G300+G299)/G291)</f>
        <v>12.14</v>
      </c>
      <c r="H309" s="40" t="n">
        <f aca="false">IF(H291=0,0,(H300+H299)/H291)</f>
        <v>12.14</v>
      </c>
      <c r="I309" s="40" t="n">
        <f aca="false">IF(I291=0,0,(I300+I299)/I291)</f>
        <v>12.14</v>
      </c>
      <c r="J309" s="40" t="n">
        <f aca="false">IF(J291=0,0,(J300+J299)/J291)</f>
        <v>12.14</v>
      </c>
      <c r="K309" s="40" t="n">
        <f aca="false">IF(K291=0,0,(K300+K299)/K291)</f>
        <v>12.14</v>
      </c>
      <c r="L309" s="40" t="n">
        <f aca="false">IF(L291=0,0,(L300+L299)/L291)</f>
        <v>12.14</v>
      </c>
      <c r="M309" s="40" t="n">
        <f aca="false">IF(M291=0,0,(M300+M299)/M291)</f>
        <v>12.14</v>
      </c>
      <c r="N309" s="40" t="n">
        <f aca="false">IF(N291=0,0,(N300+N299)/N291)</f>
        <v>12.14</v>
      </c>
      <c r="O309" s="40" t="n">
        <f aca="false">IF(O291=0,0,(O300+O299)/O291)</f>
        <v>12.14</v>
      </c>
      <c r="P309" s="40" t="n">
        <f aca="false">IF(P291=0,0,(P300+P299)/P291)</f>
        <v>12.14</v>
      </c>
      <c r="Q309" s="40" t="n">
        <f aca="false">IF(Q291=0,0,(Q300+Q299)/Q291)</f>
        <v>12.14</v>
      </c>
      <c r="R309" s="40" t="n">
        <f aca="false">IF(R291=0,0,(R300+R299)/R291)</f>
        <v>12.14</v>
      </c>
      <c r="S309" s="40" t="n">
        <f aca="false">IF(S291=0,0,(S300+S299)/S291)</f>
        <v>12.14</v>
      </c>
      <c r="T309" s="40" t="n">
        <f aca="false">IF(T291=0,0,(T300+T299)/T291)</f>
        <v>12.14</v>
      </c>
      <c r="U309" s="40" t="n">
        <f aca="false">IF(U291=0,0,(U300+U299)/U291)</f>
        <v>12.14</v>
      </c>
      <c r="V309" s="40" t="n">
        <f aca="false">IF(V291=0,0,(V300+V299)/V291)</f>
        <v>12.815</v>
      </c>
      <c r="W309" s="40" t="n">
        <f aca="false">IF(W291=0,0,(W300+W299)/W291)</f>
        <v>12.815</v>
      </c>
      <c r="X309" s="40" t="n">
        <f aca="false">IF(X291=0,0,(X300+X299)/X291)</f>
        <v>12.815</v>
      </c>
      <c r="Y309" s="40" t="n">
        <f aca="false">IF(Y291=0,0,(Y300+Y299)/Y291)</f>
        <v>12.815</v>
      </c>
      <c r="Z309" s="40" t="n">
        <f aca="false">IF(Z291=0,0,(Z300+Z299)/Z291)</f>
        <v>12.815</v>
      </c>
      <c r="AA309" s="40" t="n">
        <f aca="false">IF(AA291=0,0,(AA300+AA299)/AA291)</f>
        <v>12.815</v>
      </c>
      <c r="AB309" s="40" t="n">
        <f aca="false">IF(AB291=0,0,(AB300+AB299)/AB291)</f>
        <v>12.14</v>
      </c>
      <c r="AC309" s="40" t="n">
        <f aca="false">IF(AC291=0,0,(AC300+AC299)/AC291)</f>
        <v>12.5182967032967</v>
      </c>
    </row>
    <row r="310" customFormat="false" ht="15" hidden="false" customHeight="false" outlineLevel="0" collapsed="false">
      <c r="A310" s="3" t="s">
        <v>469</v>
      </c>
      <c r="B310" s="3" t="s">
        <v>454</v>
      </c>
      <c r="D310" s="40" t="n">
        <f aca="false">IF(D291=0,0,D300/D291)</f>
        <v>-0.46</v>
      </c>
      <c r="E310" s="40" t="n">
        <f aca="false">IF(E291=0,0,E300/E291)</f>
        <v>-0.459999999999998</v>
      </c>
      <c r="F310" s="40" t="n">
        <f aca="false">IF(F291=0,0,F300/F291)</f>
        <v>-0.460000000000001</v>
      </c>
      <c r="G310" s="40" t="n">
        <f aca="false">IF(G291=0,0,G300/G291)</f>
        <v>2.9</v>
      </c>
      <c r="H310" s="40" t="n">
        <f aca="false">IF(H291=0,0,H300/H291)</f>
        <v>2.9</v>
      </c>
      <c r="I310" s="40" t="n">
        <f aca="false">IF(I291=0,0,I300/I291)</f>
        <v>2.9</v>
      </c>
      <c r="J310" s="40" t="n">
        <f aca="false">IF(J291=0,0,J300/J291)</f>
        <v>5.84</v>
      </c>
      <c r="K310" s="40" t="n">
        <f aca="false">IF(K291=0,0,K300/K291)</f>
        <v>5.84</v>
      </c>
      <c r="L310" s="40" t="n">
        <f aca="false">IF(L291=0,0,L300/L291)</f>
        <v>5.84</v>
      </c>
      <c r="M310" s="40" t="n">
        <f aca="false">IF(M291=0,0,M300/M291)</f>
        <v>5.84</v>
      </c>
      <c r="N310" s="40" t="n">
        <f aca="false">IF(N291=0,0,N300/N291)</f>
        <v>5.84</v>
      </c>
      <c r="O310" s="40" t="n">
        <f aca="false">IF(O291=0,0,O300/O291)</f>
        <v>5.84</v>
      </c>
      <c r="P310" s="40" t="n">
        <f aca="false">IF(P291=0,0,P300/P291)</f>
        <v>7.52</v>
      </c>
      <c r="Q310" s="40" t="n">
        <f aca="false">IF(Q291=0,0,Q300/Q291)</f>
        <v>7.52</v>
      </c>
      <c r="R310" s="40" t="n">
        <f aca="false">IF(R291=0,0,R300/R291)</f>
        <v>7.52</v>
      </c>
      <c r="S310" s="40" t="n">
        <f aca="false">IF(S291=0,0,S300/S291)</f>
        <v>7.52</v>
      </c>
      <c r="T310" s="40" t="n">
        <f aca="false">IF(T291=0,0,T300/T291)</f>
        <v>7.52</v>
      </c>
      <c r="U310" s="40" t="n">
        <f aca="false">IF(U291=0,0,U300/U291)</f>
        <v>7.52</v>
      </c>
      <c r="V310" s="40" t="n">
        <f aca="false">IF(V291=0,0,V300/V291)</f>
        <v>8.195</v>
      </c>
      <c r="W310" s="40" t="n">
        <f aca="false">IF(W291=0,0,W300/W291)</f>
        <v>8.195</v>
      </c>
      <c r="X310" s="40" t="n">
        <f aca="false">IF(X291=0,0,X300/X291)</f>
        <v>8.195</v>
      </c>
      <c r="Y310" s="40" t="n">
        <f aca="false">IF(Y291=0,0,Y300/Y291)</f>
        <v>8.195</v>
      </c>
      <c r="Z310" s="40" t="n">
        <f aca="false">IF(Z291=0,0,Z300/Z291)</f>
        <v>8.195</v>
      </c>
      <c r="AA310" s="40" t="n">
        <f aca="false">IF(AA291=0,0,AA300/AA291)</f>
        <v>8.195</v>
      </c>
      <c r="AB310" s="40" t="n">
        <f aca="false">IF(AB291=0,0,AB300/AB291)</f>
        <v>4.946474086661</v>
      </c>
      <c r="AC310" s="40" t="n">
        <f aca="false">IF(AC291=0,0,AC300/AC291)</f>
        <v>7.8982967032967</v>
      </c>
    </row>
    <row r="311" customFormat="false" ht="15" hidden="false" customHeight="false" outlineLevel="0" collapsed="false">
      <c r="A311" s="3" t="s">
        <v>470</v>
      </c>
      <c r="B311" s="3" t="s">
        <v>471</v>
      </c>
      <c r="D311" s="30" t="n">
        <f aca="false">IF(D306&gt;=0,1,0)</f>
        <v>0</v>
      </c>
      <c r="E311" s="30" t="n">
        <f aca="false">IF(E306&gt;=0,1,0)</f>
        <v>0</v>
      </c>
      <c r="F311" s="30" t="n">
        <f aca="false">IF(F306&gt;=0,1,0)</f>
        <v>0</v>
      </c>
      <c r="G311" s="30" t="n">
        <f aca="false">IF(G306&gt;=0,1,0)</f>
        <v>0</v>
      </c>
      <c r="H311" s="30" t="n">
        <f aca="false">IF(H306&gt;=0,1,0)</f>
        <v>0</v>
      </c>
      <c r="I311" s="30" t="n">
        <f aca="false">IF(I306&gt;=0,1,0)</f>
        <v>0</v>
      </c>
      <c r="J311" s="30" t="n">
        <f aca="false">IF(J306&gt;=0,1,0)</f>
        <v>0</v>
      </c>
      <c r="K311" s="30" t="n">
        <f aca="false">IF(K306&gt;=0,1,0)</f>
        <v>1</v>
      </c>
      <c r="L311" s="30" t="n">
        <f aca="false">IF(L306&gt;=0,1,0)</f>
        <v>1</v>
      </c>
      <c r="M311" s="30" t="n">
        <f aca="false">IF(M306&gt;=0,1,0)</f>
        <v>1</v>
      </c>
      <c r="N311" s="30" t="n">
        <f aca="false">IF(N306&gt;=0,1,0)</f>
        <v>1</v>
      </c>
      <c r="O311" s="30" t="n">
        <f aca="false">IF(O306&gt;=0,1,0)</f>
        <v>1</v>
      </c>
      <c r="P311" s="30" t="n">
        <f aca="false">IF(P306&gt;=0,1,0)</f>
        <v>1</v>
      </c>
      <c r="Q311" s="30" t="n">
        <f aca="false">IF(Q306&gt;=0,1,0)</f>
        <v>1</v>
      </c>
      <c r="R311" s="30" t="n">
        <f aca="false">IF(R306&gt;=0,1,0)</f>
        <v>1</v>
      </c>
      <c r="S311" s="30" t="n">
        <f aca="false">IF(S306&gt;=0,1,0)</f>
        <v>1</v>
      </c>
      <c r="T311" s="30" t="n">
        <f aca="false">IF(T306&gt;=0,1,0)</f>
        <v>1</v>
      </c>
      <c r="U311" s="30" t="n">
        <f aca="false">IF(U306&gt;=0,1,0)</f>
        <v>1</v>
      </c>
      <c r="V311" s="30" t="n">
        <f aca="false">IF(V306&gt;=0,1,0)</f>
        <v>1</v>
      </c>
      <c r="W311" s="30" t="n">
        <f aca="false">IF(W306&gt;=0,1,0)</f>
        <v>1</v>
      </c>
      <c r="X311" s="30" t="n">
        <f aca="false">IF(X306&gt;=0,1,0)</f>
        <v>1</v>
      </c>
      <c r="Y311" s="30" t="n">
        <f aca="false">IF(Y306&gt;=0,1,0)</f>
        <v>1</v>
      </c>
      <c r="Z311" s="30" t="n">
        <f aca="false">IF(Z306&gt;=0,1,0)</f>
        <v>1</v>
      </c>
      <c r="AA311" s="30" t="n">
        <f aca="false">IF(AA306&gt;=0,1,0)</f>
        <v>1</v>
      </c>
    </row>
    <row r="313" customFormat="false" ht="15" hidden="false" customHeight="false" outlineLevel="0" collapsed="false">
      <c r="A313" s="9" t="s">
        <v>472</v>
      </c>
    </row>
    <row r="314" customFormat="false" ht="15" hidden="false" customHeight="false" outlineLevel="0" collapsed="false">
      <c r="A314" s="3" t="s">
        <v>473</v>
      </c>
      <c r="B314" s="3" t="s">
        <v>66</v>
      </c>
      <c r="D314" s="54" t="n">
        <f aca="false">IF(D$289&gt;=Assumptions!$D$26,LandedPctMedium+Assumptions!$D$33,LandedPctMedium)</f>
        <v>0.38</v>
      </c>
      <c r="E314" s="54" t="n">
        <f aca="false">IF(E$289&gt;=Assumptions!$D$26,LandedPctMedium+Assumptions!$D$33,LandedPctMedium)</f>
        <v>0.38</v>
      </c>
      <c r="F314" s="54" t="n">
        <f aca="false">IF(F$289&gt;=Assumptions!$D$26,LandedPctMedium+Assumptions!$D$33,LandedPctMedium)</f>
        <v>0.38</v>
      </c>
      <c r="G314" s="54" t="n">
        <f aca="false">IF(G$289&gt;=Assumptions!$D$26,LandedPctMedium+Assumptions!$D$33,LandedPctMedium)</f>
        <v>0.38</v>
      </c>
      <c r="H314" s="54" t="n">
        <f aca="false">IF(H$289&gt;=Assumptions!$D$26,LandedPctMedium+Assumptions!$D$33,LandedPctMedium)</f>
        <v>0.38</v>
      </c>
      <c r="I314" s="54" t="n">
        <f aca="false">IF(I$289&gt;=Assumptions!$D$26,LandedPctMedium+Assumptions!$D$33,LandedPctMedium)</f>
        <v>0.38</v>
      </c>
      <c r="J314" s="54" t="n">
        <f aca="false">IF(J$289&gt;=Assumptions!$D$26,LandedPctMedium+Assumptions!$D$33,LandedPctMedium)</f>
        <v>0.38</v>
      </c>
      <c r="K314" s="54" t="n">
        <f aca="false">IF(K$289&gt;=Assumptions!$D$26,LandedPctMedium+Assumptions!$D$33,LandedPctMedium)</f>
        <v>0.38</v>
      </c>
      <c r="L314" s="54" t="n">
        <f aca="false">IF(L$289&gt;=Assumptions!$D$26,LandedPctMedium+Assumptions!$D$33,LandedPctMedium)</f>
        <v>0.38</v>
      </c>
      <c r="M314" s="54" t="n">
        <f aca="false">IF(M$289&gt;=Assumptions!$D$26,LandedPctMedium+Assumptions!$D$33,LandedPctMedium)</f>
        <v>0.38</v>
      </c>
      <c r="N314" s="54" t="n">
        <f aca="false">IF(N$289&gt;=Assumptions!$D$26,LandedPctMedium+Assumptions!$D$33,LandedPctMedium)</f>
        <v>0.38</v>
      </c>
      <c r="O314" s="54" t="n">
        <f aca="false">IF(O$289&gt;=Assumptions!$D$26,LandedPctMedium+Assumptions!$D$33,LandedPctMedium)</f>
        <v>0.38</v>
      </c>
      <c r="P314" s="54" t="n">
        <f aca="false">IF(P$289&gt;=Assumptions!$D$26,LandedPctMedium+Assumptions!$D$33,LandedPctMedium)</f>
        <v>0.38</v>
      </c>
      <c r="Q314" s="54" t="n">
        <f aca="false">IF(Q$289&gt;=Assumptions!$D$26,LandedPctMedium+Assumptions!$D$33,LandedPctMedium)</f>
        <v>0.38</v>
      </c>
      <c r="R314" s="54" t="n">
        <f aca="false">IF(R$289&gt;=Assumptions!$D$26,LandedPctMedium+Assumptions!$D$33,LandedPctMedium)</f>
        <v>0.38</v>
      </c>
      <c r="S314" s="54" t="n">
        <f aca="false">IF(S$289&gt;=Assumptions!$D$26,LandedPctMedium+Assumptions!$D$33,LandedPctMedium)</f>
        <v>0.38</v>
      </c>
      <c r="T314" s="54" t="n">
        <f aca="false">IF(T$289&gt;=Assumptions!$D$26,LandedPctMedium+Assumptions!$D$33,LandedPctMedium)</f>
        <v>0.38</v>
      </c>
      <c r="U314" s="54" t="n">
        <f aca="false">IF(U$289&gt;=Assumptions!$D$26,LandedPctMedium+Assumptions!$D$33,LandedPctMedium)</f>
        <v>0.38</v>
      </c>
      <c r="V314" s="54" t="n">
        <f aca="false">IF(V$289&gt;=Assumptions!$D$26,LandedPctMedium+Assumptions!$D$33,LandedPctMedium)</f>
        <v>0.365</v>
      </c>
      <c r="W314" s="54" t="n">
        <f aca="false">IF(W$289&gt;=Assumptions!$D$26,LandedPctMedium+Assumptions!$D$33,LandedPctMedium)</f>
        <v>0.365</v>
      </c>
      <c r="X314" s="54" t="n">
        <f aca="false">IF(X$289&gt;=Assumptions!$D$26,LandedPctMedium+Assumptions!$D$33,LandedPctMedium)</f>
        <v>0.365</v>
      </c>
      <c r="Y314" s="54" t="n">
        <f aca="false">IF(Y$289&gt;=Assumptions!$D$26,LandedPctMedium+Assumptions!$D$33,LandedPctMedium)</f>
        <v>0.365</v>
      </c>
      <c r="Z314" s="54" t="n">
        <f aca="false">IF(Z$289&gt;=Assumptions!$D$26,LandedPctMedium+Assumptions!$D$33,LandedPctMedium)</f>
        <v>0.365</v>
      </c>
      <c r="AA314" s="54" t="n">
        <f aca="false">IF(AA$289&gt;=Assumptions!$D$26,LandedPctMedium+Assumptions!$D$33,LandedPctMedium)</f>
        <v>0.365</v>
      </c>
      <c r="AB314" s="34" t="n">
        <f aca="false">IF(AB293=0,0,AB294/AB293)</f>
        <v>0.38</v>
      </c>
      <c r="AC314" s="34" t="n">
        <f aca="false">IF(AC293=0,0,AC294/AC293)</f>
        <v>0.371593406593407</v>
      </c>
    </row>
    <row r="315" customFormat="false" ht="15" hidden="false" customHeight="false" outlineLevel="0" collapsed="false">
      <c r="A315" s="3" t="s">
        <v>474</v>
      </c>
      <c r="B315" s="3" t="s">
        <v>454</v>
      </c>
      <c r="D315" s="35" t="n">
        <f aca="false">Assumptions!$D$20*IF(D$289&gt;=Assumptions!$D$26,1+Assumptions!$D$32,1)</f>
        <v>5.5</v>
      </c>
      <c r="E315" s="35" t="n">
        <f aca="false">Assumptions!$D$20*IF(E$289&gt;=Assumptions!$D$26,1+Assumptions!$D$32,1)</f>
        <v>5.5</v>
      </c>
      <c r="F315" s="35" t="n">
        <f aca="false">Assumptions!$D$20*IF(F$289&gt;=Assumptions!$D$26,1+Assumptions!$D$32,1)</f>
        <v>5.5</v>
      </c>
      <c r="G315" s="35" t="n">
        <f aca="false">Assumptions!$D$20*IF(G$289&gt;=Assumptions!$D$26,1+Assumptions!$D$32,1)</f>
        <v>5.5</v>
      </c>
      <c r="H315" s="35" t="n">
        <f aca="false">Assumptions!$D$20*IF(H$289&gt;=Assumptions!$D$26,1+Assumptions!$D$32,1)</f>
        <v>5.5</v>
      </c>
      <c r="I315" s="35" t="n">
        <f aca="false">Assumptions!$D$20*IF(I$289&gt;=Assumptions!$D$26,1+Assumptions!$D$32,1)</f>
        <v>5.5</v>
      </c>
      <c r="J315" s="35" t="n">
        <f aca="false">Assumptions!$D$20*IF(J$289&gt;=Assumptions!$D$26,1+Assumptions!$D$32,1)</f>
        <v>5.5</v>
      </c>
      <c r="K315" s="35" t="n">
        <f aca="false">Assumptions!$D$20*IF(K$289&gt;=Assumptions!$D$26,1+Assumptions!$D$32,1)</f>
        <v>5.5</v>
      </c>
      <c r="L315" s="35" t="n">
        <f aca="false">Assumptions!$D$20*IF(L$289&gt;=Assumptions!$D$26,1+Assumptions!$D$32,1)</f>
        <v>5.5</v>
      </c>
      <c r="M315" s="35" t="n">
        <f aca="false">Assumptions!$D$20*IF(M$289&gt;=Assumptions!$D$26,1+Assumptions!$D$32,1)</f>
        <v>5.5</v>
      </c>
      <c r="N315" s="35" t="n">
        <f aca="false">Assumptions!$D$20*IF(N$289&gt;=Assumptions!$D$26,1+Assumptions!$D$32,1)</f>
        <v>5.5</v>
      </c>
      <c r="O315" s="35" t="n">
        <f aca="false">Assumptions!$D$20*IF(O$289&gt;=Assumptions!$D$26,1+Assumptions!$D$32,1)</f>
        <v>5.5</v>
      </c>
      <c r="P315" s="35" t="n">
        <f aca="false">Assumptions!$D$20*IF(P$289&gt;=Assumptions!$D$26,1+Assumptions!$D$32,1)</f>
        <v>5.5</v>
      </c>
      <c r="Q315" s="35" t="n">
        <f aca="false">Assumptions!$D$20*IF(Q$289&gt;=Assumptions!$D$26,1+Assumptions!$D$32,1)</f>
        <v>5.5</v>
      </c>
      <c r="R315" s="35" t="n">
        <f aca="false">Assumptions!$D$20*IF(R$289&gt;=Assumptions!$D$26,1+Assumptions!$D$32,1)</f>
        <v>5.5</v>
      </c>
      <c r="S315" s="35" t="n">
        <f aca="false">Assumptions!$D$20*IF(S$289&gt;=Assumptions!$D$26,1+Assumptions!$D$32,1)</f>
        <v>5.5</v>
      </c>
      <c r="T315" s="35" t="n">
        <f aca="false">Assumptions!$D$20*IF(T$289&gt;=Assumptions!$D$26,1+Assumptions!$D$32,1)</f>
        <v>5.5</v>
      </c>
      <c r="U315" s="35" t="n">
        <f aca="false">Assumptions!$D$20*IF(U$289&gt;=Assumptions!$D$26,1+Assumptions!$D$32,1)</f>
        <v>5.5</v>
      </c>
      <c r="V315" s="35" t="n">
        <f aca="false">Assumptions!$D$20*IF(V$289&gt;=Assumptions!$D$26,1+Assumptions!$D$32,1)</f>
        <v>5.665</v>
      </c>
      <c r="W315" s="35" t="n">
        <f aca="false">Assumptions!$D$20*IF(W$289&gt;=Assumptions!$D$26,1+Assumptions!$D$32,1)</f>
        <v>5.665</v>
      </c>
      <c r="X315" s="35" t="n">
        <f aca="false">Assumptions!$D$20*IF(X$289&gt;=Assumptions!$D$26,1+Assumptions!$D$32,1)</f>
        <v>5.665</v>
      </c>
      <c r="Y315" s="35" t="n">
        <f aca="false">Assumptions!$D$20*IF(Y$289&gt;=Assumptions!$D$26,1+Assumptions!$D$32,1)</f>
        <v>5.665</v>
      </c>
      <c r="Z315" s="35" t="n">
        <f aca="false">Assumptions!$D$20*IF(Z$289&gt;=Assumptions!$D$26,1+Assumptions!$D$32,1)</f>
        <v>5.665</v>
      </c>
      <c r="AA315" s="35" t="n">
        <f aca="false">Assumptions!$D$20*IF(AA$289&gt;=Assumptions!$D$26,1+Assumptions!$D$32,1)</f>
        <v>5.665</v>
      </c>
      <c r="AB315" s="40" t="n">
        <f aca="false">IF(AB291=0,0,AB296/AB291)</f>
        <v>5.5</v>
      </c>
      <c r="AC315" s="40" t="n">
        <f aca="false">IF(AC291=0,0,AC296/AC291)</f>
        <v>5.59247252747253</v>
      </c>
    </row>
    <row r="316" customFormat="false" ht="15" hidden="false" customHeight="false" outlineLevel="0" collapsed="false">
      <c r="A316" s="3" t="s">
        <v>475</v>
      </c>
      <c r="B316" s="3" t="s">
        <v>66</v>
      </c>
      <c r="D316" s="54" t="n">
        <f aca="false">IF(D$289&gt;=Assumptions!$D$26,Assumptions!$D$31,Assumptions!$D$12)</f>
        <v>0.03</v>
      </c>
      <c r="E316" s="54" t="n">
        <f aca="false">IF(E$289&gt;=Assumptions!$D$26,Assumptions!$D$31,Assumptions!$D$12)</f>
        <v>0.03</v>
      </c>
      <c r="F316" s="54" t="n">
        <f aca="false">IF(F$289&gt;=Assumptions!$D$26,Assumptions!$D$31,Assumptions!$D$12)</f>
        <v>0.03</v>
      </c>
      <c r="G316" s="54" t="n">
        <f aca="false">IF(G$289&gt;=Assumptions!$D$26,Assumptions!$D$31,Assumptions!$D$12)</f>
        <v>0.03</v>
      </c>
      <c r="H316" s="54" t="n">
        <f aca="false">IF(H$289&gt;=Assumptions!$D$26,Assumptions!$D$31,Assumptions!$D$12)</f>
        <v>0.03</v>
      </c>
      <c r="I316" s="54" t="n">
        <f aca="false">IF(I$289&gt;=Assumptions!$D$26,Assumptions!$D$31,Assumptions!$D$12)</f>
        <v>0.03</v>
      </c>
      <c r="J316" s="54" t="n">
        <f aca="false">IF(J$289&gt;=Assumptions!$D$26,Assumptions!$D$31,Assumptions!$D$12)</f>
        <v>0.03</v>
      </c>
      <c r="K316" s="54" t="n">
        <f aca="false">IF(K$289&gt;=Assumptions!$D$26,Assumptions!$D$31,Assumptions!$D$12)</f>
        <v>0.03</v>
      </c>
      <c r="L316" s="54" t="n">
        <f aca="false">IF(L$289&gt;=Assumptions!$D$26,Assumptions!$D$31,Assumptions!$D$12)</f>
        <v>0.03</v>
      </c>
      <c r="M316" s="54" t="n">
        <f aca="false">IF(M$289&gt;=Assumptions!$D$26,Assumptions!$D$31,Assumptions!$D$12)</f>
        <v>0.03</v>
      </c>
      <c r="N316" s="54" t="n">
        <f aca="false">IF(N$289&gt;=Assumptions!$D$26,Assumptions!$D$31,Assumptions!$D$12)</f>
        <v>0.03</v>
      </c>
      <c r="O316" s="54" t="n">
        <f aca="false">IF(O$289&gt;=Assumptions!$D$26,Assumptions!$D$31,Assumptions!$D$12)</f>
        <v>0.03</v>
      </c>
      <c r="P316" s="54" t="n">
        <f aca="false">IF(P$289&gt;=Assumptions!$D$26,Assumptions!$D$31,Assumptions!$D$12)</f>
        <v>0.03</v>
      </c>
      <c r="Q316" s="54" t="n">
        <f aca="false">IF(Q$289&gt;=Assumptions!$D$26,Assumptions!$D$31,Assumptions!$D$12)</f>
        <v>0.03</v>
      </c>
      <c r="R316" s="54" t="n">
        <f aca="false">IF(R$289&gt;=Assumptions!$D$26,Assumptions!$D$31,Assumptions!$D$12)</f>
        <v>0.03</v>
      </c>
      <c r="S316" s="54" t="n">
        <f aca="false">IF(S$289&gt;=Assumptions!$D$26,Assumptions!$D$31,Assumptions!$D$12)</f>
        <v>0.03</v>
      </c>
      <c r="T316" s="54" t="n">
        <f aca="false">IF(T$289&gt;=Assumptions!$D$26,Assumptions!$D$31,Assumptions!$D$12)</f>
        <v>0.03</v>
      </c>
      <c r="U316" s="54" t="n">
        <f aca="false">IF(U$289&gt;=Assumptions!$D$26,Assumptions!$D$31,Assumptions!$D$12)</f>
        <v>0.03</v>
      </c>
      <c r="V316" s="54" t="n">
        <f aca="false">IF(V$289&gt;=Assumptions!$D$26,Assumptions!$D$31,Assumptions!$D$12)</f>
        <v>0.025</v>
      </c>
      <c r="W316" s="54" t="n">
        <f aca="false">IF(W$289&gt;=Assumptions!$D$26,Assumptions!$D$31,Assumptions!$D$12)</f>
        <v>0.025</v>
      </c>
      <c r="X316" s="54" t="n">
        <f aca="false">IF(X$289&gt;=Assumptions!$D$26,Assumptions!$D$31,Assumptions!$D$12)</f>
        <v>0.025</v>
      </c>
      <c r="Y316" s="54" t="n">
        <f aca="false">IF(Y$289&gt;=Assumptions!$D$26,Assumptions!$D$31,Assumptions!$D$12)</f>
        <v>0.025</v>
      </c>
      <c r="Z316" s="54" t="n">
        <f aca="false">IF(Z$289&gt;=Assumptions!$D$26,Assumptions!$D$31,Assumptions!$D$12)</f>
        <v>0.025</v>
      </c>
      <c r="AA316" s="54" t="n">
        <f aca="false">IF(AA$289&gt;=Assumptions!$D$26,Assumptions!$D$31,Assumptions!$D$12)</f>
        <v>0.025</v>
      </c>
      <c r="AB316" s="34" t="n">
        <f aca="false">IF(AB293=0,0,AB297/AB293)</f>
        <v>0.03</v>
      </c>
      <c r="AC316" s="34" t="n">
        <f aca="false">IF(AC293=0,0,AC297/AC293)</f>
        <v>0.0271978021978022</v>
      </c>
    </row>
    <row r="317" customFormat="false" ht="15" hidden="false" customHeight="false" outlineLevel="0" collapsed="false">
      <c r="A317" s="3" t="s">
        <v>476</v>
      </c>
      <c r="B317" s="3" t="s">
        <v>66</v>
      </c>
      <c r="D317" s="54" t="n">
        <f aca="false">IF(D$289&lt;=3,Assumptions!$D$13,IF(D$289&lt;=6,Assumptions!$D$14,IF(D$289&lt;=12,Assumptions!$D$15,IF(D$289&lt;Assumptions!$D$26,Assumptions!$D$16,Assumptions!$D$27))))</f>
        <v>0.3</v>
      </c>
      <c r="E317" s="54" t="n">
        <f aca="false">IF(E$289&lt;=3,Assumptions!$D$13,IF(E$289&lt;=6,Assumptions!$D$14,IF(E$289&lt;=12,Assumptions!$D$15,IF(E$289&lt;Assumptions!$D$26,Assumptions!$D$16,Assumptions!$D$27))))</f>
        <v>0.3</v>
      </c>
      <c r="F317" s="54" t="n">
        <f aca="false">IF(F$289&lt;=3,Assumptions!$D$13,IF(F$289&lt;=6,Assumptions!$D$14,IF(F$289&lt;=12,Assumptions!$D$15,IF(F$289&lt;Assumptions!$D$26,Assumptions!$D$16,Assumptions!$D$27))))</f>
        <v>0.3</v>
      </c>
      <c r="G317" s="54" t="n">
        <f aca="false">IF(G$289&lt;=3,Assumptions!$D$13,IF(G$289&lt;=6,Assumptions!$D$14,IF(G$289&lt;=12,Assumptions!$D$15,IF(G$289&lt;Assumptions!$D$26,Assumptions!$D$16,Assumptions!$D$27))))</f>
        <v>0.22</v>
      </c>
      <c r="H317" s="54" t="n">
        <f aca="false">IF(H$289&lt;=3,Assumptions!$D$13,IF(H$289&lt;=6,Assumptions!$D$14,IF(H$289&lt;=12,Assumptions!$D$15,IF(H$289&lt;Assumptions!$D$26,Assumptions!$D$16,Assumptions!$D$27))))</f>
        <v>0.22</v>
      </c>
      <c r="I317" s="54" t="n">
        <f aca="false">IF(I$289&lt;=3,Assumptions!$D$13,IF(I$289&lt;=6,Assumptions!$D$14,IF(I$289&lt;=12,Assumptions!$D$15,IF(I$289&lt;Assumptions!$D$26,Assumptions!$D$16,Assumptions!$D$27))))</f>
        <v>0.22</v>
      </c>
      <c r="J317" s="54" t="n">
        <f aca="false">IF(J$289&lt;=3,Assumptions!$D$13,IF(J$289&lt;=6,Assumptions!$D$14,IF(J$289&lt;=12,Assumptions!$D$15,IF(J$289&lt;Assumptions!$D$26,Assumptions!$D$16,Assumptions!$D$27))))</f>
        <v>0.15</v>
      </c>
      <c r="K317" s="54" t="n">
        <f aca="false">IF(K$289&lt;=3,Assumptions!$D$13,IF(K$289&lt;=6,Assumptions!$D$14,IF(K$289&lt;=12,Assumptions!$D$15,IF(K$289&lt;Assumptions!$D$26,Assumptions!$D$16,Assumptions!$D$27))))</f>
        <v>0.15</v>
      </c>
      <c r="L317" s="54" t="n">
        <f aca="false">IF(L$289&lt;=3,Assumptions!$D$13,IF(L$289&lt;=6,Assumptions!$D$14,IF(L$289&lt;=12,Assumptions!$D$15,IF(L$289&lt;Assumptions!$D$26,Assumptions!$D$16,Assumptions!$D$27))))</f>
        <v>0.15</v>
      </c>
      <c r="M317" s="54" t="n">
        <f aca="false">IF(M$289&lt;=3,Assumptions!$D$13,IF(M$289&lt;=6,Assumptions!$D$14,IF(M$289&lt;=12,Assumptions!$D$15,IF(M$289&lt;Assumptions!$D$26,Assumptions!$D$16,Assumptions!$D$27))))</f>
        <v>0.15</v>
      </c>
      <c r="N317" s="54" t="n">
        <f aca="false">IF(N$289&lt;=3,Assumptions!$D$13,IF(N$289&lt;=6,Assumptions!$D$14,IF(N$289&lt;=12,Assumptions!$D$15,IF(N$289&lt;Assumptions!$D$26,Assumptions!$D$16,Assumptions!$D$27))))</f>
        <v>0.15</v>
      </c>
      <c r="O317" s="54" t="n">
        <f aca="false">IF(O$289&lt;=3,Assumptions!$D$13,IF(O$289&lt;=6,Assumptions!$D$14,IF(O$289&lt;=12,Assumptions!$D$15,IF(O$289&lt;Assumptions!$D$26,Assumptions!$D$16,Assumptions!$D$27))))</f>
        <v>0.15</v>
      </c>
      <c r="P317" s="54" t="n">
        <f aca="false">IF(P$289&lt;=3,Assumptions!$D$13,IF(P$289&lt;=6,Assumptions!$D$14,IF(P$289&lt;=12,Assumptions!$D$15,IF(P$289&lt;Assumptions!$D$26,Assumptions!$D$16,Assumptions!$D$27))))</f>
        <v>0.11</v>
      </c>
      <c r="Q317" s="54" t="n">
        <f aca="false">IF(Q$289&lt;=3,Assumptions!$D$13,IF(Q$289&lt;=6,Assumptions!$D$14,IF(Q$289&lt;=12,Assumptions!$D$15,IF(Q$289&lt;Assumptions!$D$26,Assumptions!$D$16,Assumptions!$D$27))))</f>
        <v>0.11</v>
      </c>
      <c r="R317" s="54" t="n">
        <f aca="false">IF(R$289&lt;=3,Assumptions!$D$13,IF(R$289&lt;=6,Assumptions!$D$14,IF(R$289&lt;=12,Assumptions!$D$15,IF(R$289&lt;Assumptions!$D$26,Assumptions!$D$16,Assumptions!$D$27))))</f>
        <v>0.11</v>
      </c>
      <c r="S317" s="54" t="n">
        <f aca="false">IF(S$289&lt;=3,Assumptions!$D$13,IF(S$289&lt;=6,Assumptions!$D$14,IF(S$289&lt;=12,Assumptions!$D$15,IF(S$289&lt;Assumptions!$D$26,Assumptions!$D$16,Assumptions!$D$27))))</f>
        <v>0.11</v>
      </c>
      <c r="T317" s="54" t="n">
        <f aca="false">IF(T$289&lt;=3,Assumptions!$D$13,IF(T$289&lt;=6,Assumptions!$D$14,IF(T$289&lt;=12,Assumptions!$D$15,IF(T$289&lt;Assumptions!$D$26,Assumptions!$D$16,Assumptions!$D$27))))</f>
        <v>0.11</v>
      </c>
      <c r="U317" s="54" t="n">
        <f aca="false">IF(U$289&lt;=3,Assumptions!$D$13,IF(U$289&lt;=6,Assumptions!$D$14,IF(U$289&lt;=12,Assumptions!$D$15,IF(U$289&lt;Assumptions!$D$26,Assumptions!$D$16,Assumptions!$D$27))))</f>
        <v>0.11</v>
      </c>
      <c r="V317" s="54" t="n">
        <f aca="false">IF(V$289&lt;=3,Assumptions!$D$13,IF(V$289&lt;=6,Assumptions!$D$14,IF(V$289&lt;=12,Assumptions!$D$15,IF(V$289&lt;Assumptions!$D$26,Assumptions!$D$16,Assumptions!$D$27))))</f>
        <v>0.11</v>
      </c>
      <c r="W317" s="54" t="n">
        <f aca="false">IF(W$289&lt;=3,Assumptions!$D$13,IF(W$289&lt;=6,Assumptions!$D$14,IF(W$289&lt;=12,Assumptions!$D$15,IF(W$289&lt;Assumptions!$D$26,Assumptions!$D$16,Assumptions!$D$27))))</f>
        <v>0.11</v>
      </c>
      <c r="X317" s="54" t="n">
        <f aca="false">IF(X$289&lt;=3,Assumptions!$D$13,IF(X$289&lt;=6,Assumptions!$D$14,IF(X$289&lt;=12,Assumptions!$D$15,IF(X$289&lt;Assumptions!$D$26,Assumptions!$D$16,Assumptions!$D$27))))</f>
        <v>0.11</v>
      </c>
      <c r="Y317" s="54" t="n">
        <f aca="false">IF(Y$289&lt;=3,Assumptions!$D$13,IF(Y$289&lt;=6,Assumptions!$D$14,IF(Y$289&lt;=12,Assumptions!$D$15,IF(Y$289&lt;Assumptions!$D$26,Assumptions!$D$16,Assumptions!$D$27))))</f>
        <v>0.11</v>
      </c>
      <c r="Z317" s="54" t="n">
        <f aca="false">IF(Z$289&lt;=3,Assumptions!$D$13,IF(Z$289&lt;=6,Assumptions!$D$14,IF(Z$289&lt;=12,Assumptions!$D$15,IF(Z$289&lt;Assumptions!$D$26,Assumptions!$D$16,Assumptions!$D$27))))</f>
        <v>0.11</v>
      </c>
      <c r="AA317" s="54" t="n">
        <f aca="false">IF(AA$289&lt;=3,Assumptions!$D$13,IF(AA$289&lt;=6,Assumptions!$D$14,IF(AA$289&lt;=12,Assumptions!$D$15,IF(AA$289&lt;Assumptions!$D$26,Assumptions!$D$16,Assumptions!$D$27))))</f>
        <v>0.11</v>
      </c>
      <c r="AB317" s="34" t="n">
        <f aca="false">IF(AB293=0,0,AB299/AB293)</f>
        <v>0.171274426508071</v>
      </c>
      <c r="AC317" s="34" t="n">
        <f aca="false">IF(AC293=0,0,AC299/AC293)</f>
        <v>0.11</v>
      </c>
    </row>
    <row r="319" customFormat="false" ht="15" hidden="false" customHeight="false" outlineLevel="0" collapsed="false">
      <c r="A319" s="9" t="s">
        <v>477</v>
      </c>
    </row>
    <row r="320" customFormat="false" ht="15" hidden="false" customHeight="false" outlineLevel="0" collapsed="false">
      <c r="A320" s="9" t="s">
        <v>478</v>
      </c>
      <c r="B320" s="3" t="s">
        <v>62</v>
      </c>
      <c r="D320" s="61" t="n">
        <f aca="false">IF(D$289&gt;=13,D293*Assumptions!$D$49,0)</f>
        <v>0</v>
      </c>
      <c r="E320" s="61" t="n">
        <f aca="false">IF(E$289&gt;=13,E293*Assumptions!$D$49,0)</f>
        <v>0</v>
      </c>
      <c r="F320" s="61" t="n">
        <f aca="false">IF(F$289&gt;=13,F293*Assumptions!$D$49,0)</f>
        <v>0</v>
      </c>
      <c r="G320" s="61" t="n">
        <f aca="false">IF(G$289&gt;=13,G293*Assumptions!$D$49,0)</f>
        <v>0</v>
      </c>
      <c r="H320" s="61" t="n">
        <f aca="false">IF(H$289&gt;=13,H293*Assumptions!$D$49,0)</f>
        <v>0</v>
      </c>
      <c r="I320" s="61" t="n">
        <f aca="false">IF(I$289&gt;=13,I293*Assumptions!$D$49,0)</f>
        <v>0</v>
      </c>
      <c r="J320" s="61" t="n">
        <f aca="false">IF(J$289&gt;=13,J293*Assumptions!$D$49,0)</f>
        <v>0</v>
      </c>
      <c r="K320" s="61" t="n">
        <f aca="false">IF(K$289&gt;=13,K293*Assumptions!$D$49,0)</f>
        <v>0</v>
      </c>
      <c r="L320" s="61" t="n">
        <f aca="false">IF(L$289&gt;=13,L293*Assumptions!$D$49,0)</f>
        <v>0</v>
      </c>
      <c r="M320" s="61" t="n">
        <f aca="false">IF(M$289&gt;=13,M293*Assumptions!$D$49,0)</f>
        <v>0</v>
      </c>
      <c r="N320" s="61" t="n">
        <f aca="false">IF(N$289&gt;=13,N293*Assumptions!$D$49,0)</f>
        <v>0</v>
      </c>
      <c r="O320" s="61" t="n">
        <f aca="false">IF(O$289&gt;=13,O293*Assumptions!$D$49,0)</f>
        <v>0</v>
      </c>
      <c r="P320" s="61" t="n">
        <f aca="false">IF(P$289&gt;=13,P293*Assumptions!$D$49,0)</f>
        <v>7560</v>
      </c>
      <c r="Q320" s="61" t="n">
        <f aca="false">IF(Q$289&gt;=13,Q293*Assumptions!$D$49,0)</f>
        <v>8232</v>
      </c>
      <c r="R320" s="61" t="n">
        <f aca="false">IF(R$289&gt;=13,R293*Assumptions!$D$49,0)</f>
        <v>8736</v>
      </c>
      <c r="S320" s="61" t="n">
        <f aca="false">IF(S$289&gt;=13,S293*Assumptions!$D$49,0)</f>
        <v>9240</v>
      </c>
      <c r="T320" s="61" t="n">
        <f aca="false">IF(T$289&gt;=13,T293*Assumptions!$D$49,0)</f>
        <v>9744</v>
      </c>
      <c r="U320" s="61" t="n">
        <f aca="false">IF(U$289&gt;=13,U293*Assumptions!$D$49,0)</f>
        <v>10248</v>
      </c>
      <c r="V320" s="61" t="n">
        <f aca="false">IF(V$289&gt;=13,V293*Assumptions!$D$49,0)</f>
        <v>10584</v>
      </c>
      <c r="W320" s="61" t="n">
        <f aca="false">IF(W$289&gt;=13,W293*Assumptions!$D$49,0)</f>
        <v>10920</v>
      </c>
      <c r="X320" s="61" t="n">
        <f aca="false">IF(X$289&gt;=13,X293*Assumptions!$D$49,0)</f>
        <v>11256</v>
      </c>
      <c r="Y320" s="61" t="n">
        <f aca="false">IF(Y$289&gt;=13,Y293*Assumptions!$D$49,0)</f>
        <v>11592</v>
      </c>
      <c r="Z320" s="61" t="n">
        <f aca="false">IF(Z$289&gt;=13,Z293*Assumptions!$D$49,0)</f>
        <v>11928</v>
      </c>
      <c r="AA320" s="61" t="n">
        <f aca="false">IF(AA$289&gt;=13,AA293*Assumptions!$D$49,0)</f>
        <v>12264</v>
      </c>
      <c r="AB320" s="29" t="n">
        <f aca="false">SUM(D320:O320)</f>
        <v>0</v>
      </c>
      <c r="AC320" s="29" t="n">
        <f aca="false">SUM(P320:AA320)</f>
        <v>122304</v>
      </c>
    </row>
    <row r="321" customFormat="false" ht="15" hidden="false" customHeight="false" outlineLevel="0" collapsed="false">
      <c r="A321" s="3" t="s">
        <v>479</v>
      </c>
      <c r="B321" s="3" t="s">
        <v>95</v>
      </c>
      <c r="D321" s="31" t="n">
        <f aca="false">IF(D292=0,0,D320/D292)</f>
        <v>0</v>
      </c>
      <c r="E321" s="31" t="n">
        <f aca="false">IF(E292=0,0,E320/E292)</f>
        <v>0</v>
      </c>
      <c r="F321" s="31" t="n">
        <f aca="false">IF(F292=0,0,F320/F292)</f>
        <v>0</v>
      </c>
      <c r="G321" s="31" t="n">
        <f aca="false">IF(G292=0,0,G320/G292)</f>
        <v>0</v>
      </c>
      <c r="H321" s="31" t="n">
        <f aca="false">IF(H292=0,0,H320/H292)</f>
        <v>0</v>
      </c>
      <c r="I321" s="31" t="n">
        <f aca="false">IF(I292=0,0,I320/I292)</f>
        <v>0</v>
      </c>
      <c r="J321" s="31" t="n">
        <f aca="false">IF(J292=0,0,J320/J292)</f>
        <v>0</v>
      </c>
      <c r="K321" s="31" t="n">
        <f aca="false">IF(K292=0,0,K320/K292)</f>
        <v>0</v>
      </c>
      <c r="L321" s="31" t="n">
        <f aca="false">IF(L292=0,0,L320/L292)</f>
        <v>0</v>
      </c>
      <c r="M321" s="31" t="n">
        <f aca="false">IF(M292=0,0,M320/M292)</f>
        <v>0</v>
      </c>
      <c r="N321" s="31" t="n">
        <f aca="false">IF(N292=0,0,N320/N292)</f>
        <v>0</v>
      </c>
      <c r="O321" s="31" t="n">
        <f aca="false">IF(O292=0,0,O320/O292)</f>
        <v>0</v>
      </c>
      <c r="P321" s="31" t="n">
        <f aca="false">IF(P292=0,0,P320/P292)</f>
        <v>180</v>
      </c>
      <c r="Q321" s="31" t="n">
        <f aca="false">IF(Q292=0,0,Q320/Q292)</f>
        <v>196</v>
      </c>
      <c r="R321" s="31" t="n">
        <f aca="false">IF(R292=0,0,R320/R292)</f>
        <v>208</v>
      </c>
      <c r="S321" s="31" t="n">
        <f aca="false">IF(S292=0,0,S320/S292)</f>
        <v>220</v>
      </c>
      <c r="T321" s="31" t="n">
        <f aca="false">IF(T292=0,0,T320/T292)</f>
        <v>232</v>
      </c>
      <c r="U321" s="31" t="n">
        <f aca="false">IF(U292=0,0,U320/U292)</f>
        <v>244</v>
      </c>
      <c r="V321" s="31" t="n">
        <f aca="false">IF(V292=0,0,V320/V292)</f>
        <v>252</v>
      </c>
      <c r="W321" s="31" t="n">
        <f aca="false">IF(W292=0,0,W320/W292)</f>
        <v>260</v>
      </c>
      <c r="X321" s="31" t="n">
        <f aca="false">IF(X292=0,0,X320/X292)</f>
        <v>268</v>
      </c>
      <c r="Y321" s="31" t="n">
        <f aca="false">IF(Y292=0,0,Y320/Y292)</f>
        <v>276</v>
      </c>
      <c r="Z321" s="31" t="n">
        <f aca="false">IF(Z292=0,0,Z320/Z292)</f>
        <v>284</v>
      </c>
      <c r="AA321" s="31" t="n">
        <f aca="false">IF(AA292=0,0,AA320/AA292)</f>
        <v>292</v>
      </c>
      <c r="AB321" s="31" t="n">
        <f aca="false">SUM(D321:O321)</f>
        <v>0</v>
      </c>
      <c r="AC321" s="31" t="n">
        <f aca="false">SUM(P321:AA321)</f>
        <v>2912</v>
      </c>
    </row>
    <row r="322" customFormat="false" ht="15" hidden="false" customHeight="false" outlineLevel="0" collapsed="false">
      <c r="A322" s="3" t="s">
        <v>480</v>
      </c>
      <c r="B322" s="3" t="s">
        <v>62</v>
      </c>
      <c r="D322" s="38" t="n">
        <f aca="false">D320*D314</f>
        <v>0</v>
      </c>
      <c r="E322" s="38" t="n">
        <f aca="false">E320*E314</f>
        <v>0</v>
      </c>
      <c r="F322" s="38" t="n">
        <f aca="false">F320*F314</f>
        <v>0</v>
      </c>
      <c r="G322" s="38" t="n">
        <f aca="false">G320*G314</f>
        <v>0</v>
      </c>
      <c r="H322" s="38" t="n">
        <f aca="false">H320*H314</f>
        <v>0</v>
      </c>
      <c r="I322" s="38" t="n">
        <f aca="false">I320*I314</f>
        <v>0</v>
      </c>
      <c r="J322" s="38" t="n">
        <f aca="false">J320*J314</f>
        <v>0</v>
      </c>
      <c r="K322" s="38" t="n">
        <f aca="false">K320*K314</f>
        <v>0</v>
      </c>
      <c r="L322" s="38" t="n">
        <f aca="false">L320*L314</f>
        <v>0</v>
      </c>
      <c r="M322" s="38" t="n">
        <f aca="false">M320*M314</f>
        <v>0</v>
      </c>
      <c r="N322" s="38" t="n">
        <f aca="false">N320*N314</f>
        <v>0</v>
      </c>
      <c r="O322" s="38" t="n">
        <f aca="false">O320*O314</f>
        <v>0</v>
      </c>
      <c r="P322" s="38" t="n">
        <f aca="false">P320*P314</f>
        <v>2872.8</v>
      </c>
      <c r="Q322" s="38" t="n">
        <f aca="false">Q320*Q314</f>
        <v>3128.16</v>
      </c>
      <c r="R322" s="38" t="n">
        <f aca="false">R320*R314</f>
        <v>3319.68</v>
      </c>
      <c r="S322" s="38" t="n">
        <f aca="false">S320*S314</f>
        <v>3511.2</v>
      </c>
      <c r="T322" s="38" t="n">
        <f aca="false">T320*T314</f>
        <v>3702.72</v>
      </c>
      <c r="U322" s="38" t="n">
        <f aca="false">U320*U314</f>
        <v>3894.24</v>
      </c>
      <c r="V322" s="38" t="n">
        <f aca="false">V320*V314</f>
        <v>3863.16</v>
      </c>
      <c r="W322" s="38" t="n">
        <f aca="false">W320*W314</f>
        <v>3985.8</v>
      </c>
      <c r="X322" s="38" t="n">
        <f aca="false">X320*X314</f>
        <v>4108.44</v>
      </c>
      <c r="Y322" s="38" t="n">
        <f aca="false">Y320*Y314</f>
        <v>4231.08</v>
      </c>
      <c r="Z322" s="38" t="n">
        <f aca="false">Z320*Z314</f>
        <v>4353.72</v>
      </c>
      <c r="AA322" s="38" t="n">
        <f aca="false">AA320*AA314</f>
        <v>4476.36</v>
      </c>
      <c r="AB322" s="38" t="n">
        <f aca="false">SUM(D322:O322)</f>
        <v>0</v>
      </c>
      <c r="AC322" s="38" t="n">
        <f aca="false">SUM(P322:AA322)</f>
        <v>45447.36</v>
      </c>
    </row>
    <row r="323" customFormat="false" ht="15" hidden="false" customHeight="false" outlineLevel="0" collapsed="false">
      <c r="A323" s="3" t="s">
        <v>481</v>
      </c>
      <c r="B323" s="3" t="s">
        <v>62</v>
      </c>
      <c r="D323" s="60" t="n">
        <f aca="false">D320*Assumptions!$D$66</f>
        <v>0</v>
      </c>
      <c r="E323" s="60" t="n">
        <f aca="false">E320*Assumptions!$D$66</f>
        <v>0</v>
      </c>
      <c r="F323" s="60" t="n">
        <f aca="false">F320*Assumptions!$D$66</f>
        <v>0</v>
      </c>
      <c r="G323" s="60" t="n">
        <f aca="false">G320*Assumptions!$D$66</f>
        <v>0</v>
      </c>
      <c r="H323" s="60" t="n">
        <f aca="false">H320*Assumptions!$D$66</f>
        <v>0</v>
      </c>
      <c r="I323" s="60" t="n">
        <f aca="false">I320*Assumptions!$D$66</f>
        <v>0</v>
      </c>
      <c r="J323" s="60" t="n">
        <f aca="false">J320*Assumptions!$D$66</f>
        <v>0</v>
      </c>
      <c r="K323" s="60" t="n">
        <f aca="false">K320*Assumptions!$D$66</f>
        <v>0</v>
      </c>
      <c r="L323" s="60" t="n">
        <f aca="false">L320*Assumptions!$D$66</f>
        <v>0</v>
      </c>
      <c r="M323" s="60" t="n">
        <f aca="false">M320*Assumptions!$D$66</f>
        <v>0</v>
      </c>
      <c r="N323" s="60" t="n">
        <f aca="false">N320*Assumptions!$D$66</f>
        <v>0</v>
      </c>
      <c r="O323" s="60" t="n">
        <f aca="false">O320*Assumptions!$D$66</f>
        <v>0</v>
      </c>
      <c r="P323" s="60" t="n">
        <f aca="false">P320*Assumptions!$D$66</f>
        <v>982.8</v>
      </c>
      <c r="Q323" s="60" t="n">
        <f aca="false">Q320*Assumptions!$D$66</f>
        <v>1070.16</v>
      </c>
      <c r="R323" s="60" t="n">
        <f aca="false">R320*Assumptions!$D$66</f>
        <v>1135.68</v>
      </c>
      <c r="S323" s="60" t="n">
        <f aca="false">S320*Assumptions!$D$66</f>
        <v>1201.2</v>
      </c>
      <c r="T323" s="60" t="n">
        <f aca="false">T320*Assumptions!$D$66</f>
        <v>1266.72</v>
      </c>
      <c r="U323" s="60" t="n">
        <f aca="false">U320*Assumptions!$D$66</f>
        <v>1332.24</v>
      </c>
      <c r="V323" s="60" t="n">
        <f aca="false">V320*Assumptions!$D$66</f>
        <v>1375.92</v>
      </c>
      <c r="W323" s="60" t="n">
        <f aca="false">W320*Assumptions!$D$66</f>
        <v>1419.6</v>
      </c>
      <c r="X323" s="60" t="n">
        <f aca="false">X320*Assumptions!$D$66</f>
        <v>1463.28</v>
      </c>
      <c r="Y323" s="60" t="n">
        <f aca="false">Y320*Assumptions!$D$66</f>
        <v>1506.96</v>
      </c>
      <c r="Z323" s="60" t="n">
        <f aca="false">Z320*Assumptions!$D$66</f>
        <v>1550.64</v>
      </c>
      <c r="AA323" s="60" t="n">
        <f aca="false">AA320*Assumptions!$D$66</f>
        <v>1594.32</v>
      </c>
      <c r="AB323" s="38" t="n">
        <f aca="false">SUM(D323:O323)</f>
        <v>0</v>
      </c>
      <c r="AC323" s="38" t="n">
        <f aca="false">SUM(P323:AA323)</f>
        <v>15899.52</v>
      </c>
    </row>
    <row r="324" customFormat="false" ht="15" hidden="false" customHeight="false" outlineLevel="0" collapsed="false">
      <c r="A324" s="3" t="s">
        <v>482</v>
      </c>
      <c r="B324" s="3" t="s">
        <v>62</v>
      </c>
      <c r="D324" s="60" t="n">
        <f aca="false">D321*Assumptions!$D$67</f>
        <v>0</v>
      </c>
      <c r="E324" s="60" t="n">
        <f aca="false">E321*Assumptions!$D$67</f>
        <v>0</v>
      </c>
      <c r="F324" s="60" t="n">
        <f aca="false">F321*Assumptions!$D$67</f>
        <v>0</v>
      </c>
      <c r="G324" s="60" t="n">
        <f aca="false">G321*Assumptions!$D$67</f>
        <v>0</v>
      </c>
      <c r="H324" s="60" t="n">
        <f aca="false">H321*Assumptions!$D$67</f>
        <v>0</v>
      </c>
      <c r="I324" s="60" t="n">
        <f aca="false">I321*Assumptions!$D$67</f>
        <v>0</v>
      </c>
      <c r="J324" s="60" t="n">
        <f aca="false">J321*Assumptions!$D$67</f>
        <v>0</v>
      </c>
      <c r="K324" s="60" t="n">
        <f aca="false">K321*Assumptions!$D$67</f>
        <v>0</v>
      </c>
      <c r="L324" s="60" t="n">
        <f aca="false">L321*Assumptions!$D$67</f>
        <v>0</v>
      </c>
      <c r="M324" s="60" t="n">
        <f aca="false">M321*Assumptions!$D$67</f>
        <v>0</v>
      </c>
      <c r="N324" s="60" t="n">
        <f aca="false">N321*Assumptions!$D$67</f>
        <v>0</v>
      </c>
      <c r="O324" s="60" t="n">
        <f aca="false">O321*Assumptions!$D$67</f>
        <v>0</v>
      </c>
      <c r="P324" s="60" t="n">
        <f aca="false">P321*Assumptions!$D$67</f>
        <v>1170</v>
      </c>
      <c r="Q324" s="60" t="n">
        <f aca="false">Q321*Assumptions!$D$67</f>
        <v>1274</v>
      </c>
      <c r="R324" s="60" t="n">
        <f aca="false">R321*Assumptions!$D$67</f>
        <v>1352</v>
      </c>
      <c r="S324" s="60" t="n">
        <f aca="false">S321*Assumptions!$D$67</f>
        <v>1430</v>
      </c>
      <c r="T324" s="60" t="n">
        <f aca="false">T321*Assumptions!$D$67</f>
        <v>1508</v>
      </c>
      <c r="U324" s="60" t="n">
        <f aca="false">U321*Assumptions!$D$67</f>
        <v>1586</v>
      </c>
      <c r="V324" s="60" t="n">
        <f aca="false">V321*Assumptions!$D$67</f>
        <v>1638</v>
      </c>
      <c r="W324" s="60" t="n">
        <f aca="false">W321*Assumptions!$D$67</f>
        <v>1690</v>
      </c>
      <c r="X324" s="60" t="n">
        <f aca="false">X321*Assumptions!$D$67</f>
        <v>1742</v>
      </c>
      <c r="Y324" s="60" t="n">
        <f aca="false">Y321*Assumptions!$D$67</f>
        <v>1794</v>
      </c>
      <c r="Z324" s="60" t="n">
        <f aca="false">Z321*Assumptions!$D$67</f>
        <v>1846</v>
      </c>
      <c r="AA324" s="60" t="n">
        <f aca="false">AA321*Assumptions!$D$67</f>
        <v>1898</v>
      </c>
      <c r="AB324" s="38" t="n">
        <f aca="false">SUM(D324:O324)</f>
        <v>0</v>
      </c>
      <c r="AC324" s="38" t="n">
        <f aca="false">SUM(P324:AA324)</f>
        <v>18928</v>
      </c>
    </row>
    <row r="325" customFormat="false" ht="15" hidden="false" customHeight="false" outlineLevel="0" collapsed="false">
      <c r="A325" s="3" t="s">
        <v>483</v>
      </c>
      <c r="B325" s="3" t="s">
        <v>62</v>
      </c>
      <c r="D325" s="60" t="n">
        <f aca="false">D320*Assumptions!$D$68</f>
        <v>0</v>
      </c>
      <c r="E325" s="60" t="n">
        <f aca="false">E320*Assumptions!$D$68</f>
        <v>0</v>
      </c>
      <c r="F325" s="60" t="n">
        <f aca="false">F320*Assumptions!$D$68</f>
        <v>0</v>
      </c>
      <c r="G325" s="60" t="n">
        <f aca="false">G320*Assumptions!$D$68</f>
        <v>0</v>
      </c>
      <c r="H325" s="60" t="n">
        <f aca="false">H320*Assumptions!$D$68</f>
        <v>0</v>
      </c>
      <c r="I325" s="60" t="n">
        <f aca="false">I320*Assumptions!$D$68</f>
        <v>0</v>
      </c>
      <c r="J325" s="60" t="n">
        <f aca="false">J320*Assumptions!$D$68</f>
        <v>0</v>
      </c>
      <c r="K325" s="60" t="n">
        <f aca="false">K320*Assumptions!$D$68</f>
        <v>0</v>
      </c>
      <c r="L325" s="60" t="n">
        <f aca="false">L320*Assumptions!$D$68</f>
        <v>0</v>
      </c>
      <c r="M325" s="60" t="n">
        <f aca="false">M320*Assumptions!$D$68</f>
        <v>0</v>
      </c>
      <c r="N325" s="60" t="n">
        <f aca="false">N320*Assumptions!$D$68</f>
        <v>0</v>
      </c>
      <c r="O325" s="60" t="n">
        <f aca="false">O320*Assumptions!$D$68</f>
        <v>0</v>
      </c>
      <c r="P325" s="60" t="n">
        <f aca="false">P320*Assumptions!$D$68</f>
        <v>378</v>
      </c>
      <c r="Q325" s="60" t="n">
        <f aca="false">Q320*Assumptions!$D$68</f>
        <v>411.6</v>
      </c>
      <c r="R325" s="60" t="n">
        <f aca="false">R320*Assumptions!$D$68</f>
        <v>436.8</v>
      </c>
      <c r="S325" s="60" t="n">
        <f aca="false">S320*Assumptions!$D$68</f>
        <v>462</v>
      </c>
      <c r="T325" s="60" t="n">
        <f aca="false">T320*Assumptions!$D$68</f>
        <v>487.2</v>
      </c>
      <c r="U325" s="60" t="n">
        <f aca="false">U320*Assumptions!$D$68</f>
        <v>512.4</v>
      </c>
      <c r="V325" s="60" t="n">
        <f aca="false">V320*Assumptions!$D$68</f>
        <v>529.2</v>
      </c>
      <c r="W325" s="60" t="n">
        <f aca="false">W320*Assumptions!$D$68</f>
        <v>546</v>
      </c>
      <c r="X325" s="60" t="n">
        <f aca="false">X320*Assumptions!$D$68</f>
        <v>562.8</v>
      </c>
      <c r="Y325" s="60" t="n">
        <f aca="false">Y320*Assumptions!$D$68</f>
        <v>579.6</v>
      </c>
      <c r="Z325" s="60" t="n">
        <f aca="false">Z320*Assumptions!$D$68</f>
        <v>596.4</v>
      </c>
      <c r="AA325" s="60" t="n">
        <f aca="false">AA320*Assumptions!$D$68</f>
        <v>613.2</v>
      </c>
      <c r="AB325" s="38" t="n">
        <f aca="false">SUM(D325:O325)</f>
        <v>0</v>
      </c>
      <c r="AC325" s="38" t="n">
        <f aca="false">SUM(P325:AA325)</f>
        <v>6115.2</v>
      </c>
    </row>
    <row r="326" customFormat="false" ht="15" hidden="false" customHeight="false" outlineLevel="0" collapsed="false">
      <c r="A326" s="3" t="s">
        <v>484</v>
      </c>
      <c r="B326" s="3" t="s">
        <v>62</v>
      </c>
      <c r="D326" s="60" t="n">
        <f aca="false">D320*Assumptions!$D$69</f>
        <v>0</v>
      </c>
      <c r="E326" s="60" t="n">
        <f aca="false">E320*Assumptions!$D$69</f>
        <v>0</v>
      </c>
      <c r="F326" s="60" t="n">
        <f aca="false">F320*Assumptions!$D$69</f>
        <v>0</v>
      </c>
      <c r="G326" s="60" t="n">
        <f aca="false">G320*Assumptions!$D$69</f>
        <v>0</v>
      </c>
      <c r="H326" s="60" t="n">
        <f aca="false">H320*Assumptions!$D$69</f>
        <v>0</v>
      </c>
      <c r="I326" s="60" t="n">
        <f aca="false">I320*Assumptions!$D$69</f>
        <v>0</v>
      </c>
      <c r="J326" s="60" t="n">
        <f aca="false">J320*Assumptions!$D$69</f>
        <v>0</v>
      </c>
      <c r="K326" s="60" t="n">
        <f aca="false">K320*Assumptions!$D$69</f>
        <v>0</v>
      </c>
      <c r="L326" s="60" t="n">
        <f aca="false">L320*Assumptions!$D$69</f>
        <v>0</v>
      </c>
      <c r="M326" s="60" t="n">
        <f aca="false">M320*Assumptions!$D$69</f>
        <v>0</v>
      </c>
      <c r="N326" s="60" t="n">
        <f aca="false">N320*Assumptions!$D$69</f>
        <v>0</v>
      </c>
      <c r="O326" s="60" t="n">
        <f aca="false">O320*Assumptions!$D$69</f>
        <v>0</v>
      </c>
      <c r="P326" s="60" t="n">
        <f aca="false">P320*Assumptions!$D$69</f>
        <v>226.8</v>
      </c>
      <c r="Q326" s="60" t="n">
        <f aca="false">Q320*Assumptions!$D$69</f>
        <v>246.96</v>
      </c>
      <c r="R326" s="60" t="n">
        <f aca="false">R320*Assumptions!$D$69</f>
        <v>262.08</v>
      </c>
      <c r="S326" s="60" t="n">
        <f aca="false">S320*Assumptions!$D$69</f>
        <v>277.2</v>
      </c>
      <c r="T326" s="60" t="n">
        <f aca="false">T320*Assumptions!$D$69</f>
        <v>292.32</v>
      </c>
      <c r="U326" s="60" t="n">
        <f aca="false">U320*Assumptions!$D$69</f>
        <v>307.44</v>
      </c>
      <c r="V326" s="60" t="n">
        <f aca="false">V320*Assumptions!$D$69</f>
        <v>317.52</v>
      </c>
      <c r="W326" s="60" t="n">
        <f aca="false">W320*Assumptions!$D$69</f>
        <v>327.6</v>
      </c>
      <c r="X326" s="60" t="n">
        <f aca="false">X320*Assumptions!$D$69</f>
        <v>337.68</v>
      </c>
      <c r="Y326" s="60" t="n">
        <f aca="false">Y320*Assumptions!$D$69</f>
        <v>347.76</v>
      </c>
      <c r="Z326" s="60" t="n">
        <f aca="false">Z320*Assumptions!$D$69</f>
        <v>357.84</v>
      </c>
      <c r="AA326" s="60" t="n">
        <f aca="false">AA320*Assumptions!$D$69</f>
        <v>367.92</v>
      </c>
      <c r="AB326" s="38" t="n">
        <f aca="false">SUM(D326:O326)</f>
        <v>0</v>
      </c>
      <c r="AC326" s="38" t="n">
        <f aca="false">SUM(P326:AA326)</f>
        <v>3669.12</v>
      </c>
    </row>
    <row r="327" customFormat="false" ht="15" hidden="false" customHeight="false" outlineLevel="0" collapsed="false">
      <c r="A327" s="9" t="s">
        <v>485</v>
      </c>
      <c r="B327" s="3" t="s">
        <v>62</v>
      </c>
      <c r="D327" s="29" t="n">
        <f aca="false">D320-D322-D323-D324-D325-D326</f>
        <v>0</v>
      </c>
      <c r="E327" s="29" t="n">
        <f aca="false">E320-E322-E323-E324-E325-E326</f>
        <v>0</v>
      </c>
      <c r="F327" s="29" t="n">
        <f aca="false">F320-F322-F323-F324-F325-F326</f>
        <v>0</v>
      </c>
      <c r="G327" s="29" t="n">
        <f aca="false">G320-G322-G323-G324-G325-G326</f>
        <v>0</v>
      </c>
      <c r="H327" s="29" t="n">
        <f aca="false">H320-H322-H323-H324-H325-H326</f>
        <v>0</v>
      </c>
      <c r="I327" s="29" t="n">
        <f aca="false">I320-I322-I323-I324-I325-I326</f>
        <v>0</v>
      </c>
      <c r="J327" s="29" t="n">
        <f aca="false">J320-J322-J323-J324-J325-J326</f>
        <v>0</v>
      </c>
      <c r="K327" s="29" t="n">
        <f aca="false">K320-K322-K323-K324-K325-K326</f>
        <v>0</v>
      </c>
      <c r="L327" s="29" t="n">
        <f aca="false">L320-L322-L323-L324-L325-L326</f>
        <v>0</v>
      </c>
      <c r="M327" s="29" t="n">
        <f aca="false">M320-M322-M323-M324-M325-M326</f>
        <v>0</v>
      </c>
      <c r="N327" s="29" t="n">
        <f aca="false">N320-N322-N323-N324-N325-N326</f>
        <v>0</v>
      </c>
      <c r="O327" s="29" t="n">
        <f aca="false">O320-O322-O323-O324-O325-O326</f>
        <v>0</v>
      </c>
      <c r="P327" s="29" t="n">
        <f aca="false">P320-P322-P323-P324-P325-P326</f>
        <v>1929.6</v>
      </c>
      <c r="Q327" s="29" t="n">
        <f aca="false">Q320-Q322-Q323-Q324-Q325-Q326</f>
        <v>2101.12</v>
      </c>
      <c r="R327" s="29" t="n">
        <f aca="false">R320-R322-R323-R324-R325-R326</f>
        <v>2229.76</v>
      </c>
      <c r="S327" s="29" t="n">
        <f aca="false">S320-S322-S323-S324-S325-S326</f>
        <v>2358.4</v>
      </c>
      <c r="T327" s="29" t="n">
        <f aca="false">T320-T322-T323-T324-T325-T326</f>
        <v>2487.04</v>
      </c>
      <c r="U327" s="29" t="n">
        <f aca="false">U320-U322-U323-U324-U325-U326</f>
        <v>2615.68</v>
      </c>
      <c r="V327" s="29" t="n">
        <f aca="false">V320-V322-V323-V324-V325-V326</f>
        <v>2860.2</v>
      </c>
      <c r="W327" s="29" t="n">
        <f aca="false">W320-W322-W323-W324-W325-W326</f>
        <v>2951</v>
      </c>
      <c r="X327" s="29" t="n">
        <f aca="false">X320-X322-X323-X324-X325-X326</f>
        <v>3041.8</v>
      </c>
      <c r="Y327" s="29" t="n">
        <f aca="false">Y320-Y322-Y323-Y324-Y325-Y326</f>
        <v>3132.6</v>
      </c>
      <c r="Z327" s="29" t="n">
        <f aca="false">Z320-Z322-Z323-Z324-Z325-Z326</f>
        <v>3223.4</v>
      </c>
      <c r="AA327" s="29" t="n">
        <f aca="false">AA320-AA322-AA323-AA324-AA325-AA326</f>
        <v>3314.2</v>
      </c>
      <c r="AB327" s="29" t="n">
        <f aca="false">SUM(D327:O327)</f>
        <v>0</v>
      </c>
      <c r="AC327" s="29" t="n">
        <f aca="false">SUM(P327:AA327)</f>
        <v>32244.8</v>
      </c>
    </row>
    <row r="328" customFormat="false" ht="15" hidden="false" customHeight="false" outlineLevel="0" collapsed="false">
      <c r="A328" s="9" t="s">
        <v>486</v>
      </c>
      <c r="B328" s="3" t="s">
        <v>62</v>
      </c>
      <c r="D328" s="61" t="n">
        <f aca="false">IF(D$289&gt;=13,Assumptions!$D$53/12,0)</f>
        <v>0</v>
      </c>
      <c r="E328" s="61" t="n">
        <f aca="false">IF(E$289&gt;=13,Assumptions!$D$53/12,0)</f>
        <v>0</v>
      </c>
      <c r="F328" s="61" t="n">
        <f aca="false">IF(F$289&gt;=13,Assumptions!$D$53/12,0)</f>
        <v>0</v>
      </c>
      <c r="G328" s="61" t="n">
        <f aca="false">IF(G$289&gt;=13,Assumptions!$D$53/12,0)</f>
        <v>0</v>
      </c>
      <c r="H328" s="61" t="n">
        <f aca="false">IF(H$289&gt;=13,Assumptions!$D$53/12,0)</f>
        <v>0</v>
      </c>
      <c r="I328" s="61" t="n">
        <f aca="false">IF(I$289&gt;=13,Assumptions!$D$53/12,0)</f>
        <v>0</v>
      </c>
      <c r="J328" s="61" t="n">
        <f aca="false">IF(J$289&gt;=13,Assumptions!$D$53/12,0)</f>
        <v>0</v>
      </c>
      <c r="K328" s="61" t="n">
        <f aca="false">IF(K$289&gt;=13,Assumptions!$D$53/12,0)</f>
        <v>0</v>
      </c>
      <c r="L328" s="61" t="n">
        <f aca="false">IF(L$289&gt;=13,Assumptions!$D$53/12,0)</f>
        <v>0</v>
      </c>
      <c r="M328" s="61" t="n">
        <f aca="false">IF(M$289&gt;=13,Assumptions!$D$53/12,0)</f>
        <v>0</v>
      </c>
      <c r="N328" s="61" t="n">
        <f aca="false">IF(N$289&gt;=13,Assumptions!$D$53/12,0)</f>
        <v>0</v>
      </c>
      <c r="O328" s="61" t="n">
        <f aca="false">IF(O$289&gt;=13,Assumptions!$D$53/12,0)</f>
        <v>0</v>
      </c>
      <c r="P328" s="61" t="n">
        <f aca="false">IF(P$289&gt;=13,Assumptions!$D$53/12,0)</f>
        <v>10000</v>
      </c>
      <c r="Q328" s="61" t="n">
        <f aca="false">IF(Q$289&gt;=13,Assumptions!$D$53/12,0)</f>
        <v>10000</v>
      </c>
      <c r="R328" s="61" t="n">
        <f aca="false">IF(R$289&gt;=13,Assumptions!$D$53/12,0)</f>
        <v>10000</v>
      </c>
      <c r="S328" s="61" t="n">
        <f aca="false">IF(S$289&gt;=13,Assumptions!$D$53/12,0)</f>
        <v>10000</v>
      </c>
      <c r="T328" s="61" t="n">
        <f aca="false">IF(T$289&gt;=13,Assumptions!$D$53/12,0)</f>
        <v>10000</v>
      </c>
      <c r="U328" s="61" t="n">
        <f aca="false">IF(U$289&gt;=13,Assumptions!$D$53/12,0)</f>
        <v>10000</v>
      </c>
      <c r="V328" s="61" t="n">
        <f aca="false">IF(V$289&gt;=13,Assumptions!$D$53/12,0)</f>
        <v>10000</v>
      </c>
      <c r="W328" s="61" t="n">
        <f aca="false">IF(W$289&gt;=13,Assumptions!$D$53/12,0)</f>
        <v>10000</v>
      </c>
      <c r="X328" s="61" t="n">
        <f aca="false">IF(X$289&gt;=13,Assumptions!$D$53/12,0)</f>
        <v>10000</v>
      </c>
      <c r="Y328" s="61" t="n">
        <f aca="false">IF(Y$289&gt;=13,Assumptions!$D$53/12,0)</f>
        <v>10000</v>
      </c>
      <c r="Z328" s="61" t="n">
        <f aca="false">IF(Z$289&gt;=13,Assumptions!$D$53/12,0)</f>
        <v>10000</v>
      </c>
      <c r="AA328" s="61" t="n">
        <f aca="false">IF(AA$289&gt;=13,Assumptions!$D$53/12,0)</f>
        <v>10000</v>
      </c>
      <c r="AB328" s="29" t="n">
        <f aca="false">SUM(D328:O328)</f>
        <v>0</v>
      </c>
      <c r="AC328" s="29" t="n">
        <f aca="false">SUM(P328:AA328)</f>
        <v>120000</v>
      </c>
    </row>
    <row r="329" customFormat="false" ht="15" hidden="false" customHeight="false" outlineLevel="0" collapsed="false">
      <c r="A329" s="3" t="s">
        <v>487</v>
      </c>
      <c r="B329" s="3" t="s">
        <v>95</v>
      </c>
      <c r="D329" s="62" t="n">
        <f aca="false">IF(D292=0,0,D328/(D292*Assumptions!$D$70))</f>
        <v>0</v>
      </c>
      <c r="E329" s="62" t="n">
        <f aca="false">IF(E292=0,0,E328/(E292*Assumptions!$D$70))</f>
        <v>0</v>
      </c>
      <c r="F329" s="62" t="n">
        <f aca="false">IF(F292=0,0,F328/(F292*Assumptions!$D$70))</f>
        <v>0</v>
      </c>
      <c r="G329" s="62" t="n">
        <f aca="false">IF(G292=0,0,G328/(G292*Assumptions!$D$70))</f>
        <v>0</v>
      </c>
      <c r="H329" s="62" t="n">
        <f aca="false">IF(H292=0,0,H328/(H292*Assumptions!$D$70))</f>
        <v>0</v>
      </c>
      <c r="I329" s="62" t="n">
        <f aca="false">IF(I292=0,0,I328/(I292*Assumptions!$D$70))</f>
        <v>0</v>
      </c>
      <c r="J329" s="62" t="n">
        <f aca="false">IF(J292=0,0,J328/(J292*Assumptions!$D$70))</f>
        <v>0</v>
      </c>
      <c r="K329" s="62" t="n">
        <f aca="false">IF(K292=0,0,K328/(K292*Assumptions!$D$70))</f>
        <v>0</v>
      </c>
      <c r="L329" s="62" t="n">
        <f aca="false">IF(L292=0,0,L328/(L292*Assumptions!$D$70))</f>
        <v>0</v>
      </c>
      <c r="M329" s="62" t="n">
        <f aca="false">IF(M292=0,0,M328/(M292*Assumptions!$D$70))</f>
        <v>0</v>
      </c>
      <c r="N329" s="62" t="n">
        <f aca="false">IF(N292=0,0,N328/(N292*Assumptions!$D$70))</f>
        <v>0</v>
      </c>
      <c r="O329" s="62" t="n">
        <f aca="false">IF(O292=0,0,O328/(O292*Assumptions!$D$70))</f>
        <v>0</v>
      </c>
      <c r="P329" s="62" t="n">
        <f aca="false">IF(P292=0,0,P328/(P292*Assumptions!$D$70))</f>
        <v>396.825396825397</v>
      </c>
      <c r="Q329" s="62" t="n">
        <f aca="false">IF(Q292=0,0,Q328/(Q292*Assumptions!$D$70))</f>
        <v>396.825396825397</v>
      </c>
      <c r="R329" s="62" t="n">
        <f aca="false">IF(R292=0,0,R328/(R292*Assumptions!$D$70))</f>
        <v>396.825396825397</v>
      </c>
      <c r="S329" s="62" t="n">
        <f aca="false">IF(S292=0,0,S328/(S292*Assumptions!$D$70))</f>
        <v>396.825396825397</v>
      </c>
      <c r="T329" s="62" t="n">
        <f aca="false">IF(T292=0,0,T328/(T292*Assumptions!$D$70))</f>
        <v>396.825396825397</v>
      </c>
      <c r="U329" s="62" t="n">
        <f aca="false">IF(U292=0,0,U328/(U292*Assumptions!$D$70))</f>
        <v>396.825396825397</v>
      </c>
      <c r="V329" s="62" t="n">
        <f aca="false">IF(V292=0,0,V328/(V292*Assumptions!$D$70))</f>
        <v>396.825396825397</v>
      </c>
      <c r="W329" s="62" t="n">
        <f aca="false">IF(W292=0,0,W328/(W292*Assumptions!$D$70))</f>
        <v>396.825396825397</v>
      </c>
      <c r="X329" s="62" t="n">
        <f aca="false">IF(X292=0,0,X328/(X292*Assumptions!$D$70))</f>
        <v>396.825396825397</v>
      </c>
      <c r="Y329" s="62" t="n">
        <f aca="false">IF(Y292=0,0,Y328/(Y292*Assumptions!$D$70))</f>
        <v>396.825396825397</v>
      </c>
      <c r="Z329" s="62" t="n">
        <f aca="false">IF(Z292=0,0,Z328/(Z292*Assumptions!$D$70))</f>
        <v>396.825396825397</v>
      </c>
      <c r="AA329" s="62" t="n">
        <f aca="false">IF(AA292=0,0,AA328/(AA292*Assumptions!$D$70))</f>
        <v>396.825396825397</v>
      </c>
      <c r="AB329" s="31" t="n">
        <f aca="false">SUM(D329:O329)</f>
        <v>0</v>
      </c>
      <c r="AC329" s="31" t="n">
        <f aca="false">SUM(P329:AA329)</f>
        <v>4761.90476190476</v>
      </c>
    </row>
    <row r="330" customFormat="false" ht="15" hidden="false" customHeight="false" outlineLevel="0" collapsed="false">
      <c r="A330" s="3" t="s">
        <v>488</v>
      </c>
      <c r="B330" s="3" t="s">
        <v>62</v>
      </c>
      <c r="D330" s="38" t="n">
        <f aca="false">D329*D292*D314</f>
        <v>0</v>
      </c>
      <c r="E330" s="38" t="n">
        <f aca="false">E329*E292*E314</f>
        <v>0</v>
      </c>
      <c r="F330" s="38" t="n">
        <f aca="false">F329*F292*F314</f>
        <v>0</v>
      </c>
      <c r="G330" s="38" t="n">
        <f aca="false">G329*G292*G314</f>
        <v>0</v>
      </c>
      <c r="H330" s="38" t="n">
        <f aca="false">H329*H292*H314</f>
        <v>0</v>
      </c>
      <c r="I330" s="38" t="n">
        <f aca="false">I329*I292*I314</f>
        <v>0</v>
      </c>
      <c r="J330" s="38" t="n">
        <f aca="false">J329*J292*J314</f>
        <v>0</v>
      </c>
      <c r="K330" s="38" t="n">
        <f aca="false">K329*K292*K314</f>
        <v>0</v>
      </c>
      <c r="L330" s="38" t="n">
        <f aca="false">L329*L292*L314</f>
        <v>0</v>
      </c>
      <c r="M330" s="38" t="n">
        <f aca="false">M329*M292*M314</f>
        <v>0</v>
      </c>
      <c r="N330" s="38" t="n">
        <f aca="false">N329*N292*N314</f>
        <v>0</v>
      </c>
      <c r="O330" s="38" t="n">
        <f aca="false">O329*O292*O314</f>
        <v>0</v>
      </c>
      <c r="P330" s="38" t="n">
        <f aca="false">P329*P292*P314</f>
        <v>6333.33333333333</v>
      </c>
      <c r="Q330" s="38" t="n">
        <f aca="false">Q329*Q292*Q314</f>
        <v>6333.33333333333</v>
      </c>
      <c r="R330" s="38" t="n">
        <f aca="false">R329*R292*R314</f>
        <v>6333.33333333333</v>
      </c>
      <c r="S330" s="38" t="n">
        <f aca="false">S329*S292*S314</f>
        <v>6333.33333333333</v>
      </c>
      <c r="T330" s="38" t="n">
        <f aca="false">T329*T292*T314</f>
        <v>6333.33333333333</v>
      </c>
      <c r="U330" s="38" t="n">
        <f aca="false">U329*U292*U314</f>
        <v>6333.33333333333</v>
      </c>
      <c r="V330" s="38" t="n">
        <f aca="false">V329*V292*V314</f>
        <v>6083.33333333333</v>
      </c>
      <c r="W330" s="38" t="n">
        <f aca="false">W329*W292*W314</f>
        <v>6083.33333333333</v>
      </c>
      <c r="X330" s="38" t="n">
        <f aca="false">X329*X292*X314</f>
        <v>6083.33333333333</v>
      </c>
      <c r="Y330" s="38" t="n">
        <f aca="false">Y329*Y292*Y314</f>
        <v>6083.33333333333</v>
      </c>
      <c r="Z330" s="38" t="n">
        <f aca="false">Z329*Z292*Z314</f>
        <v>6083.33333333333</v>
      </c>
      <c r="AA330" s="38" t="n">
        <f aca="false">AA329*AA292*AA314</f>
        <v>6083.33333333333</v>
      </c>
      <c r="AB330" s="38" t="n">
        <f aca="false">SUM(D330:O330)</f>
        <v>0</v>
      </c>
      <c r="AC330" s="38" t="n">
        <f aca="false">SUM(P330:AA330)</f>
        <v>74500</v>
      </c>
    </row>
    <row r="331" customFormat="false" ht="15" hidden="false" customHeight="false" outlineLevel="0" collapsed="false">
      <c r="A331" s="3" t="s">
        <v>489</v>
      </c>
      <c r="B331" s="3" t="s">
        <v>62</v>
      </c>
      <c r="D331" s="60" t="n">
        <f aca="false">D329*Assumptions!$D$71</f>
        <v>0</v>
      </c>
      <c r="E331" s="60" t="n">
        <f aca="false">E329*Assumptions!$D$71</f>
        <v>0</v>
      </c>
      <c r="F331" s="60" t="n">
        <f aca="false">F329*Assumptions!$D$71</f>
        <v>0</v>
      </c>
      <c r="G331" s="60" t="n">
        <f aca="false">G329*Assumptions!$D$71</f>
        <v>0</v>
      </c>
      <c r="H331" s="60" t="n">
        <f aca="false">H329*Assumptions!$D$71</f>
        <v>0</v>
      </c>
      <c r="I331" s="60" t="n">
        <f aca="false">I329*Assumptions!$D$71</f>
        <v>0</v>
      </c>
      <c r="J331" s="60" t="n">
        <f aca="false">J329*Assumptions!$D$71</f>
        <v>0</v>
      </c>
      <c r="K331" s="60" t="n">
        <f aca="false">K329*Assumptions!$D$71</f>
        <v>0</v>
      </c>
      <c r="L331" s="60" t="n">
        <f aca="false">L329*Assumptions!$D$71</f>
        <v>0</v>
      </c>
      <c r="M331" s="60" t="n">
        <f aca="false">M329*Assumptions!$D$71</f>
        <v>0</v>
      </c>
      <c r="N331" s="60" t="n">
        <f aca="false">N329*Assumptions!$D$71</f>
        <v>0</v>
      </c>
      <c r="O331" s="60" t="n">
        <f aca="false">O329*Assumptions!$D$71</f>
        <v>0</v>
      </c>
      <c r="P331" s="60" t="n">
        <f aca="false">P329*Assumptions!$D$71</f>
        <v>1587.30158730159</v>
      </c>
      <c r="Q331" s="60" t="n">
        <f aca="false">Q329*Assumptions!$D$71</f>
        <v>1587.30158730159</v>
      </c>
      <c r="R331" s="60" t="n">
        <f aca="false">R329*Assumptions!$D$71</f>
        <v>1587.30158730159</v>
      </c>
      <c r="S331" s="60" t="n">
        <f aca="false">S329*Assumptions!$D$71</f>
        <v>1587.30158730159</v>
      </c>
      <c r="T331" s="60" t="n">
        <f aca="false">T329*Assumptions!$D$71</f>
        <v>1587.30158730159</v>
      </c>
      <c r="U331" s="60" t="n">
        <f aca="false">U329*Assumptions!$D$71</f>
        <v>1587.30158730159</v>
      </c>
      <c r="V331" s="60" t="n">
        <f aca="false">V329*Assumptions!$D$71</f>
        <v>1587.30158730159</v>
      </c>
      <c r="W331" s="60" t="n">
        <f aca="false">W329*Assumptions!$D$71</f>
        <v>1587.30158730159</v>
      </c>
      <c r="X331" s="60" t="n">
        <f aca="false">X329*Assumptions!$D$71</f>
        <v>1587.30158730159</v>
      </c>
      <c r="Y331" s="60" t="n">
        <f aca="false">Y329*Assumptions!$D$71</f>
        <v>1587.30158730159</v>
      </c>
      <c r="Z331" s="60" t="n">
        <f aca="false">Z329*Assumptions!$D$71</f>
        <v>1587.30158730159</v>
      </c>
      <c r="AA331" s="60" t="n">
        <f aca="false">AA329*Assumptions!$D$71</f>
        <v>1587.30158730159</v>
      </c>
      <c r="AB331" s="38" t="n">
        <f aca="false">SUM(D331:O331)</f>
        <v>0</v>
      </c>
      <c r="AC331" s="38" t="n">
        <f aca="false">SUM(P331:AA331)</f>
        <v>19047.619047619</v>
      </c>
    </row>
    <row r="332" customFormat="false" ht="15" hidden="false" customHeight="false" outlineLevel="0" collapsed="false">
      <c r="A332" s="3" t="s">
        <v>490</v>
      </c>
      <c r="B332" s="3" t="s">
        <v>62</v>
      </c>
      <c r="D332" s="60" t="n">
        <f aca="false">D328*Assumptions!$D$72</f>
        <v>0</v>
      </c>
      <c r="E332" s="60" t="n">
        <f aca="false">E328*Assumptions!$D$72</f>
        <v>0</v>
      </c>
      <c r="F332" s="60" t="n">
        <f aca="false">F328*Assumptions!$D$72</f>
        <v>0</v>
      </c>
      <c r="G332" s="60" t="n">
        <f aca="false">G328*Assumptions!$D$72</f>
        <v>0</v>
      </c>
      <c r="H332" s="60" t="n">
        <f aca="false">H328*Assumptions!$D$72</f>
        <v>0</v>
      </c>
      <c r="I332" s="60" t="n">
        <f aca="false">I328*Assumptions!$D$72</f>
        <v>0</v>
      </c>
      <c r="J332" s="60" t="n">
        <f aca="false">J328*Assumptions!$D$72</f>
        <v>0</v>
      </c>
      <c r="K332" s="60" t="n">
        <f aca="false">K328*Assumptions!$D$72</f>
        <v>0</v>
      </c>
      <c r="L332" s="60" t="n">
        <f aca="false">L328*Assumptions!$D$72</f>
        <v>0</v>
      </c>
      <c r="M332" s="60" t="n">
        <f aca="false">M328*Assumptions!$D$72</f>
        <v>0</v>
      </c>
      <c r="N332" s="60" t="n">
        <f aca="false">N328*Assumptions!$D$72</f>
        <v>0</v>
      </c>
      <c r="O332" s="60" t="n">
        <f aca="false">O328*Assumptions!$D$72</f>
        <v>0</v>
      </c>
      <c r="P332" s="60" t="n">
        <f aca="false">P328*Assumptions!$D$72</f>
        <v>500</v>
      </c>
      <c r="Q332" s="60" t="n">
        <f aca="false">Q328*Assumptions!$D$72</f>
        <v>500</v>
      </c>
      <c r="R332" s="60" t="n">
        <f aca="false">R328*Assumptions!$D$72</f>
        <v>500</v>
      </c>
      <c r="S332" s="60" t="n">
        <f aca="false">S328*Assumptions!$D$72</f>
        <v>500</v>
      </c>
      <c r="T332" s="60" t="n">
        <f aca="false">T328*Assumptions!$D$72</f>
        <v>500</v>
      </c>
      <c r="U332" s="60" t="n">
        <f aca="false">U328*Assumptions!$D$72</f>
        <v>500</v>
      </c>
      <c r="V332" s="60" t="n">
        <f aca="false">V328*Assumptions!$D$72</f>
        <v>500</v>
      </c>
      <c r="W332" s="60" t="n">
        <f aca="false">W328*Assumptions!$D$72</f>
        <v>500</v>
      </c>
      <c r="X332" s="60" t="n">
        <f aca="false">X328*Assumptions!$D$72</f>
        <v>500</v>
      </c>
      <c r="Y332" s="60" t="n">
        <f aca="false">Y328*Assumptions!$D$72</f>
        <v>500</v>
      </c>
      <c r="Z332" s="60" t="n">
        <f aca="false">Z328*Assumptions!$D$72</f>
        <v>500</v>
      </c>
      <c r="AA332" s="60" t="n">
        <f aca="false">AA328*Assumptions!$D$72</f>
        <v>500</v>
      </c>
      <c r="AB332" s="38" t="n">
        <f aca="false">SUM(D332:O332)</f>
        <v>0</v>
      </c>
      <c r="AC332" s="38" t="n">
        <f aca="false">SUM(P332:AA332)</f>
        <v>6000</v>
      </c>
    </row>
    <row r="333" customFormat="false" ht="15" hidden="false" customHeight="false" outlineLevel="0" collapsed="false">
      <c r="A333" s="3" t="s">
        <v>491</v>
      </c>
      <c r="B333" s="3" t="s">
        <v>62</v>
      </c>
      <c r="D333" s="60" t="n">
        <f aca="false">D328*Assumptions!$D$73</f>
        <v>0</v>
      </c>
      <c r="E333" s="60" t="n">
        <f aca="false">E328*Assumptions!$D$73</f>
        <v>0</v>
      </c>
      <c r="F333" s="60" t="n">
        <f aca="false">F328*Assumptions!$D$73</f>
        <v>0</v>
      </c>
      <c r="G333" s="60" t="n">
        <f aca="false">G328*Assumptions!$D$73</f>
        <v>0</v>
      </c>
      <c r="H333" s="60" t="n">
        <f aca="false">H328*Assumptions!$D$73</f>
        <v>0</v>
      </c>
      <c r="I333" s="60" t="n">
        <f aca="false">I328*Assumptions!$D$73</f>
        <v>0</v>
      </c>
      <c r="J333" s="60" t="n">
        <f aca="false">J328*Assumptions!$D$73</f>
        <v>0</v>
      </c>
      <c r="K333" s="60" t="n">
        <f aca="false">K328*Assumptions!$D$73</f>
        <v>0</v>
      </c>
      <c r="L333" s="60" t="n">
        <f aca="false">L328*Assumptions!$D$73</f>
        <v>0</v>
      </c>
      <c r="M333" s="60" t="n">
        <f aca="false">M328*Assumptions!$D$73</f>
        <v>0</v>
      </c>
      <c r="N333" s="60" t="n">
        <f aca="false">N328*Assumptions!$D$73</f>
        <v>0</v>
      </c>
      <c r="O333" s="60" t="n">
        <f aca="false">O328*Assumptions!$D$73</f>
        <v>0</v>
      </c>
      <c r="P333" s="60" t="n">
        <f aca="false">P328*Assumptions!$D$73</f>
        <v>300</v>
      </c>
      <c r="Q333" s="60" t="n">
        <f aca="false">Q328*Assumptions!$D$73</f>
        <v>300</v>
      </c>
      <c r="R333" s="60" t="n">
        <f aca="false">R328*Assumptions!$D$73</f>
        <v>300</v>
      </c>
      <c r="S333" s="60" t="n">
        <f aca="false">S328*Assumptions!$D$73</f>
        <v>300</v>
      </c>
      <c r="T333" s="60" t="n">
        <f aca="false">T328*Assumptions!$D$73</f>
        <v>300</v>
      </c>
      <c r="U333" s="60" t="n">
        <f aca="false">U328*Assumptions!$D$73</f>
        <v>300</v>
      </c>
      <c r="V333" s="60" t="n">
        <f aca="false">V328*Assumptions!$D$73</f>
        <v>300</v>
      </c>
      <c r="W333" s="60" t="n">
        <f aca="false">W328*Assumptions!$D$73</f>
        <v>300</v>
      </c>
      <c r="X333" s="60" t="n">
        <f aca="false">X328*Assumptions!$D$73</f>
        <v>300</v>
      </c>
      <c r="Y333" s="60" t="n">
        <f aca="false">Y328*Assumptions!$D$73</f>
        <v>300</v>
      </c>
      <c r="Z333" s="60" t="n">
        <f aca="false">Z328*Assumptions!$D$73</f>
        <v>300</v>
      </c>
      <c r="AA333" s="60" t="n">
        <f aca="false">AA328*Assumptions!$D$73</f>
        <v>300</v>
      </c>
      <c r="AB333" s="38" t="n">
        <f aca="false">SUM(D333:O333)</f>
        <v>0</v>
      </c>
      <c r="AC333" s="38" t="n">
        <f aca="false">SUM(P333:AA333)</f>
        <v>3600</v>
      </c>
    </row>
    <row r="334" customFormat="false" ht="15" hidden="false" customHeight="false" outlineLevel="0" collapsed="false">
      <c r="A334" s="3" t="s">
        <v>492</v>
      </c>
      <c r="B334" s="3" t="s">
        <v>62</v>
      </c>
      <c r="D334" s="60" t="n">
        <f aca="false">D328*Assumptions!$D$74</f>
        <v>0</v>
      </c>
      <c r="E334" s="60" t="n">
        <f aca="false">E328*Assumptions!$D$74</f>
        <v>0</v>
      </c>
      <c r="F334" s="60" t="n">
        <f aca="false">F328*Assumptions!$D$74</f>
        <v>0</v>
      </c>
      <c r="G334" s="60" t="n">
        <f aca="false">G328*Assumptions!$D$74</f>
        <v>0</v>
      </c>
      <c r="H334" s="60" t="n">
        <f aca="false">H328*Assumptions!$D$74</f>
        <v>0</v>
      </c>
      <c r="I334" s="60" t="n">
        <f aca="false">I328*Assumptions!$D$74</f>
        <v>0</v>
      </c>
      <c r="J334" s="60" t="n">
        <f aca="false">J328*Assumptions!$D$74</f>
        <v>0</v>
      </c>
      <c r="K334" s="60" t="n">
        <f aca="false">K328*Assumptions!$D$74</f>
        <v>0</v>
      </c>
      <c r="L334" s="60" t="n">
        <f aca="false">L328*Assumptions!$D$74</f>
        <v>0</v>
      </c>
      <c r="M334" s="60" t="n">
        <f aca="false">M328*Assumptions!$D$74</f>
        <v>0</v>
      </c>
      <c r="N334" s="60" t="n">
        <f aca="false">N328*Assumptions!$D$74</f>
        <v>0</v>
      </c>
      <c r="O334" s="60" t="n">
        <f aca="false">O328*Assumptions!$D$74</f>
        <v>0</v>
      </c>
      <c r="P334" s="60" t="n">
        <f aca="false">P328*Assumptions!$D$74</f>
        <v>200</v>
      </c>
      <c r="Q334" s="60" t="n">
        <f aca="false">Q328*Assumptions!$D$74</f>
        <v>200</v>
      </c>
      <c r="R334" s="60" t="n">
        <f aca="false">R328*Assumptions!$D$74</f>
        <v>200</v>
      </c>
      <c r="S334" s="60" t="n">
        <f aca="false">S328*Assumptions!$D$74</f>
        <v>200</v>
      </c>
      <c r="T334" s="60" t="n">
        <f aca="false">T328*Assumptions!$D$74</f>
        <v>200</v>
      </c>
      <c r="U334" s="60" t="n">
        <f aca="false">U328*Assumptions!$D$74</f>
        <v>200</v>
      </c>
      <c r="V334" s="60" t="n">
        <f aca="false">V328*Assumptions!$D$74</f>
        <v>200</v>
      </c>
      <c r="W334" s="60" t="n">
        <f aca="false">W328*Assumptions!$D$74</f>
        <v>200</v>
      </c>
      <c r="X334" s="60" t="n">
        <f aca="false">X328*Assumptions!$D$74</f>
        <v>200</v>
      </c>
      <c r="Y334" s="60" t="n">
        <f aca="false">Y328*Assumptions!$D$74</f>
        <v>200</v>
      </c>
      <c r="Z334" s="60" t="n">
        <f aca="false">Z328*Assumptions!$D$74</f>
        <v>200</v>
      </c>
      <c r="AA334" s="60" t="n">
        <f aca="false">AA328*Assumptions!$D$74</f>
        <v>200</v>
      </c>
      <c r="AB334" s="38" t="n">
        <f aca="false">SUM(D334:O334)</f>
        <v>0</v>
      </c>
      <c r="AC334" s="38" t="n">
        <f aca="false">SUM(P334:AA334)</f>
        <v>2400</v>
      </c>
    </row>
    <row r="335" customFormat="false" ht="15" hidden="false" customHeight="false" outlineLevel="0" collapsed="false">
      <c r="A335" s="9" t="s">
        <v>493</v>
      </c>
      <c r="B335" s="3" t="s">
        <v>62</v>
      </c>
      <c r="D335" s="29" t="n">
        <f aca="false">D328-D330-D331-D332-D333-D334</f>
        <v>0</v>
      </c>
      <c r="E335" s="29" t="n">
        <f aca="false">E328-E330-E331-E332-E333-E334</f>
        <v>0</v>
      </c>
      <c r="F335" s="29" t="n">
        <f aca="false">F328-F330-F331-F332-F333-F334</f>
        <v>0</v>
      </c>
      <c r="G335" s="29" t="n">
        <f aca="false">G328-G330-G331-G332-G333-G334</f>
        <v>0</v>
      </c>
      <c r="H335" s="29" t="n">
        <f aca="false">H328-H330-H331-H332-H333-H334</f>
        <v>0</v>
      </c>
      <c r="I335" s="29" t="n">
        <f aca="false">I328-I330-I331-I332-I333-I334</f>
        <v>0</v>
      </c>
      <c r="J335" s="29" t="n">
        <f aca="false">J328-J330-J331-J332-J333-J334</f>
        <v>0</v>
      </c>
      <c r="K335" s="29" t="n">
        <f aca="false">K328-K330-K331-K332-K333-K334</f>
        <v>0</v>
      </c>
      <c r="L335" s="29" t="n">
        <f aca="false">L328-L330-L331-L332-L333-L334</f>
        <v>0</v>
      </c>
      <c r="M335" s="29" t="n">
        <f aca="false">M328-M330-M331-M332-M333-M334</f>
        <v>0</v>
      </c>
      <c r="N335" s="29" t="n">
        <f aca="false">N328-N330-N331-N332-N333-N334</f>
        <v>0</v>
      </c>
      <c r="O335" s="29" t="n">
        <f aca="false">O328-O330-O331-O332-O333-O334</f>
        <v>0</v>
      </c>
      <c r="P335" s="29" t="n">
        <f aca="false">P328-P330-P331-P332-P333-P334</f>
        <v>1079.36507936508</v>
      </c>
      <c r="Q335" s="29" t="n">
        <f aca="false">Q328-Q330-Q331-Q332-Q333-Q334</f>
        <v>1079.36507936508</v>
      </c>
      <c r="R335" s="29" t="n">
        <f aca="false">R328-R330-R331-R332-R333-R334</f>
        <v>1079.36507936508</v>
      </c>
      <c r="S335" s="29" t="n">
        <f aca="false">S328-S330-S331-S332-S333-S334</f>
        <v>1079.36507936508</v>
      </c>
      <c r="T335" s="29" t="n">
        <f aca="false">T328-T330-T331-T332-T333-T334</f>
        <v>1079.36507936508</v>
      </c>
      <c r="U335" s="29" t="n">
        <f aca="false">U328-U330-U331-U332-U333-U334</f>
        <v>1079.36507936508</v>
      </c>
      <c r="V335" s="29" t="n">
        <f aca="false">V328-V330-V331-V332-V333-V334</f>
        <v>1329.36507936508</v>
      </c>
      <c r="W335" s="29" t="n">
        <f aca="false">W328-W330-W331-W332-W333-W334</f>
        <v>1329.36507936508</v>
      </c>
      <c r="X335" s="29" t="n">
        <f aca="false">X328-X330-X331-X332-X333-X334</f>
        <v>1329.36507936508</v>
      </c>
      <c r="Y335" s="29" t="n">
        <f aca="false">Y328-Y330-Y331-Y332-Y333-Y334</f>
        <v>1329.36507936508</v>
      </c>
      <c r="Z335" s="29" t="n">
        <f aca="false">Z328-Z330-Z331-Z332-Z333-Z334</f>
        <v>1329.36507936508</v>
      </c>
      <c r="AA335" s="29" t="n">
        <f aca="false">AA328-AA330-AA331-AA332-AA333-AA334</f>
        <v>1329.36507936508</v>
      </c>
      <c r="AB335" s="29" t="n">
        <f aca="false">SUM(D335:O335)</f>
        <v>0</v>
      </c>
      <c r="AC335" s="29" t="n">
        <f aca="false">SUM(P335:AA335)</f>
        <v>14452.380952381</v>
      </c>
    </row>
    <row r="337" customFormat="false" ht="15" hidden="false" customHeight="false" outlineLevel="0" collapsed="false">
      <c r="A337" s="9" t="s">
        <v>494</v>
      </c>
    </row>
    <row r="338" customFormat="false" ht="15" hidden="false" customHeight="false" outlineLevel="0" collapsed="false">
      <c r="A338" s="9" t="s">
        <v>495</v>
      </c>
      <c r="B338" s="3" t="s">
        <v>62</v>
      </c>
      <c r="D338" s="29" t="n">
        <f aca="false">D293+D320+D328</f>
        <v>6300</v>
      </c>
      <c r="E338" s="29" t="n">
        <f aca="false">E293+E320+E328</f>
        <v>10080</v>
      </c>
      <c r="F338" s="29" t="n">
        <f aca="false">F293+F320+F328</f>
        <v>15120</v>
      </c>
      <c r="G338" s="29" t="n">
        <f aca="false">G293+G320+G328</f>
        <v>21000</v>
      </c>
      <c r="H338" s="29" t="n">
        <f aca="false">H293+H320+H328</f>
        <v>27300</v>
      </c>
      <c r="I338" s="29" t="n">
        <f aca="false">I293+I320+I328</f>
        <v>34440</v>
      </c>
      <c r="J338" s="29" t="n">
        <f aca="false">J293+J320+J328</f>
        <v>42000</v>
      </c>
      <c r="K338" s="29" t="n">
        <f aca="false">K293+K320+K328</f>
        <v>50400</v>
      </c>
      <c r="L338" s="29" t="n">
        <f aca="false">L293+L320+L328</f>
        <v>58800</v>
      </c>
      <c r="M338" s="29" t="n">
        <f aca="false">M293+M320+M328</f>
        <v>67200</v>
      </c>
      <c r="N338" s="29" t="n">
        <f aca="false">N293+N320+N328</f>
        <v>75600</v>
      </c>
      <c r="O338" s="29" t="n">
        <f aca="false">O293+O320+O328</f>
        <v>86100</v>
      </c>
      <c r="P338" s="29" t="n">
        <f aca="false">P293+P320+P328</f>
        <v>112060</v>
      </c>
      <c r="Q338" s="29" t="n">
        <f aca="false">Q293+Q320+Q328</f>
        <v>121132</v>
      </c>
      <c r="R338" s="29" t="n">
        <f aca="false">R293+R320+R328</f>
        <v>127936</v>
      </c>
      <c r="S338" s="29" t="n">
        <f aca="false">S293+S320+S328</f>
        <v>134740</v>
      </c>
      <c r="T338" s="29" t="n">
        <f aca="false">T293+T320+T328</f>
        <v>141544</v>
      </c>
      <c r="U338" s="29" t="n">
        <f aca="false">U293+U320+U328</f>
        <v>148348</v>
      </c>
      <c r="V338" s="29" t="n">
        <f aca="false">V293+V320+V328</f>
        <v>152884</v>
      </c>
      <c r="W338" s="29" t="n">
        <f aca="false">W293+W320+W328</f>
        <v>157420</v>
      </c>
      <c r="X338" s="29" t="n">
        <f aca="false">X293+X320+X328</f>
        <v>161956</v>
      </c>
      <c r="Y338" s="29" t="n">
        <f aca="false">Y293+Y320+Y328</f>
        <v>166492</v>
      </c>
      <c r="Z338" s="29" t="n">
        <f aca="false">Z293+Z320+Z328</f>
        <v>171028</v>
      </c>
      <c r="AA338" s="29" t="n">
        <f aca="false">AA293+AA320+AA328</f>
        <v>175564</v>
      </c>
      <c r="AB338" s="29" t="n">
        <f aca="false">SUM(D338:O338)</f>
        <v>494340</v>
      </c>
      <c r="AC338" s="29" t="n">
        <f aca="false">SUM(P338:AA338)</f>
        <v>1771104</v>
      </c>
    </row>
    <row r="339" customFormat="false" ht="15" hidden="false" customHeight="false" outlineLevel="0" collapsed="false">
      <c r="A339" s="9" t="s">
        <v>496</v>
      </c>
      <c r="B339" s="3" t="s">
        <v>62</v>
      </c>
      <c r="D339" s="29" t="n">
        <f aca="false">D305+D327+D335</f>
        <v>-10458.99</v>
      </c>
      <c r="E339" s="29" t="n">
        <f aca="false">E305+E327+E335</f>
        <v>-1000.39</v>
      </c>
      <c r="F339" s="29" t="n">
        <f aca="false">F305+F327+F335</f>
        <v>-1055.59</v>
      </c>
      <c r="G339" s="29" t="n">
        <f aca="false">G305+G327+G335</f>
        <v>560.01</v>
      </c>
      <c r="H339" s="29" t="n">
        <f aca="false">H305+H327+H335</f>
        <v>995.01</v>
      </c>
      <c r="I339" s="29" t="n">
        <f aca="false">I305+I327+I335</f>
        <v>1488.01</v>
      </c>
      <c r="J339" s="29" t="n">
        <f aca="false">J305+J327+J335</f>
        <v>4950.01</v>
      </c>
      <c r="K339" s="29" t="n">
        <f aca="false">K305+K327+K335</f>
        <v>6118.01</v>
      </c>
      <c r="L339" s="29" t="n">
        <f aca="false">L305+L327+L335</f>
        <v>7286.01</v>
      </c>
      <c r="M339" s="29" t="n">
        <f aca="false">M305+M327+M335</f>
        <v>8454.01</v>
      </c>
      <c r="N339" s="29" t="n">
        <f aca="false">N305+N327+N335</f>
        <v>9622.01</v>
      </c>
      <c r="O339" s="29" t="n">
        <f aca="false">O305+O327+O335</f>
        <v>11082.01</v>
      </c>
      <c r="P339" s="29" t="n">
        <f aca="false">P305+P327+P335</f>
        <v>19038.9750793651</v>
      </c>
      <c r="Q339" s="29" t="n">
        <f aca="false">Q305+Q327+Q335</f>
        <v>20714.4950793651</v>
      </c>
      <c r="R339" s="29" t="n">
        <f aca="false">R305+R327+R335</f>
        <v>21971.1350793651</v>
      </c>
      <c r="S339" s="29" t="n">
        <f aca="false">S305+S327+S335</f>
        <v>23227.7750793651</v>
      </c>
      <c r="T339" s="29" t="n">
        <f aca="false">T305+T327+T335</f>
        <v>24484.4150793651</v>
      </c>
      <c r="U339" s="29" t="n">
        <f aca="false">U305+U327+U335</f>
        <v>25741.0550793651</v>
      </c>
      <c r="V339" s="29" t="n">
        <f aca="false">V305+V327+V335</f>
        <v>28037.1584126984</v>
      </c>
      <c r="W339" s="29" t="n">
        <f aca="false">W305+W327+W335</f>
        <v>28947.4584126984</v>
      </c>
      <c r="X339" s="29" t="n">
        <f aca="false">X305+X327+X335</f>
        <v>29857.7584126984</v>
      </c>
      <c r="Y339" s="29" t="n">
        <f aca="false">Y305+Y327+Y335</f>
        <v>30768.0584126984</v>
      </c>
      <c r="Z339" s="29" t="n">
        <f aca="false">Z305+Z327+Z335</f>
        <v>31678.3584126984</v>
      </c>
      <c r="AA339" s="29" t="n">
        <f aca="false">AA305+AA327+AA335</f>
        <v>32588.6584126984</v>
      </c>
      <c r="AB339" s="29" t="n">
        <f aca="false">SUM(D339:O339)</f>
        <v>38040.12</v>
      </c>
      <c r="AC339" s="29" t="n">
        <f aca="false">SUM(P339:AA339)</f>
        <v>317055.300952381</v>
      </c>
    </row>
    <row r="340" customFormat="false" ht="15" hidden="false" customHeight="false" outlineLevel="0" collapsed="false">
      <c r="A340" s="3" t="s">
        <v>497</v>
      </c>
      <c r="B340" s="3" t="s">
        <v>62</v>
      </c>
      <c r="D340" s="38" t="n">
        <f aca="false">D339</f>
        <v>-10458.99</v>
      </c>
      <c r="E340" s="38" t="n">
        <f aca="false">D340+E339</f>
        <v>-11459.38</v>
      </c>
      <c r="F340" s="38" t="n">
        <f aca="false">E340+F339</f>
        <v>-12514.97</v>
      </c>
      <c r="G340" s="38" t="n">
        <f aca="false">F340+G339</f>
        <v>-11954.96</v>
      </c>
      <c r="H340" s="38" t="n">
        <f aca="false">G340+H339</f>
        <v>-10959.95</v>
      </c>
      <c r="I340" s="38" t="n">
        <f aca="false">H340+I339</f>
        <v>-9471.94</v>
      </c>
      <c r="J340" s="38" t="n">
        <f aca="false">I340+J339</f>
        <v>-4521.93</v>
      </c>
      <c r="K340" s="38" t="n">
        <f aca="false">J340+K339</f>
        <v>1596.08</v>
      </c>
      <c r="L340" s="38" t="n">
        <f aca="false">K340+L339</f>
        <v>8882.09</v>
      </c>
      <c r="M340" s="38" t="n">
        <f aca="false">L340+M339</f>
        <v>17336.1</v>
      </c>
      <c r="N340" s="38" t="n">
        <f aca="false">M340+N339</f>
        <v>26958.11</v>
      </c>
      <c r="O340" s="38" t="n">
        <f aca="false">N340+O339</f>
        <v>38040.12</v>
      </c>
      <c r="P340" s="38" t="n">
        <f aca="false">O340+P339</f>
        <v>57079.0950793651</v>
      </c>
      <c r="Q340" s="38" t="n">
        <f aca="false">P340+Q339</f>
        <v>77793.5901587302</v>
      </c>
      <c r="R340" s="38" t="n">
        <f aca="false">Q340+R339</f>
        <v>99764.7252380952</v>
      </c>
      <c r="S340" s="38" t="n">
        <f aca="false">R340+S339</f>
        <v>122992.50031746</v>
      </c>
      <c r="T340" s="38" t="n">
        <f aca="false">S340+T339</f>
        <v>147476.915396825</v>
      </c>
      <c r="U340" s="38" t="n">
        <f aca="false">T340+U339</f>
        <v>173217.970476191</v>
      </c>
      <c r="V340" s="38" t="n">
        <f aca="false">U340+V339</f>
        <v>201255.128888889</v>
      </c>
      <c r="W340" s="38" t="n">
        <f aca="false">V340+W339</f>
        <v>230202.587301587</v>
      </c>
      <c r="X340" s="38" t="n">
        <f aca="false">W340+X339</f>
        <v>260060.345714286</v>
      </c>
      <c r="Y340" s="38" t="n">
        <f aca="false">X340+Y339</f>
        <v>290828.404126984</v>
      </c>
      <c r="Z340" s="38" t="n">
        <f aca="false">Y340+Z339</f>
        <v>322506.762539683</v>
      </c>
      <c r="AA340" s="38" t="n">
        <f aca="false">Z340+AA339</f>
        <v>355095.420952381</v>
      </c>
      <c r="AB340" s="38" t="n">
        <f aca="false">O340</f>
        <v>38040.12</v>
      </c>
      <c r="AC340" s="38" t="n">
        <f aca="false">AA340</f>
        <v>355095.420952381</v>
      </c>
    </row>
    <row r="341" customFormat="false" ht="15" hidden="false" customHeight="false" outlineLevel="0" collapsed="false">
      <c r="A341" s="3" t="s">
        <v>498</v>
      </c>
      <c r="B341" s="3" t="s">
        <v>66</v>
      </c>
      <c r="D341" s="34" t="n">
        <f aca="false">IF(D338=0,0,D339/D338)</f>
        <v>-1.66015714285714</v>
      </c>
      <c r="E341" s="34" t="n">
        <f aca="false">IF(E338=0,0,E339/E338)</f>
        <v>-0.0992450396825396</v>
      </c>
      <c r="F341" s="34" t="n">
        <f aca="false">IF(F338=0,0,F339/F338)</f>
        <v>-0.0698141534391535</v>
      </c>
      <c r="G341" s="34" t="n">
        <f aca="false">IF(G338=0,0,G339/G338)</f>
        <v>0.0266671428571429</v>
      </c>
      <c r="H341" s="34" t="n">
        <f aca="false">IF(H338=0,0,H339/H338)</f>
        <v>0.0364472527472527</v>
      </c>
      <c r="I341" s="34" t="n">
        <f aca="false">IF(I338=0,0,I339/I338)</f>
        <v>0.0432058652729384</v>
      </c>
      <c r="J341" s="34" t="n">
        <f aca="false">IF(J338=0,0,J339/J338)</f>
        <v>0.117857380952381</v>
      </c>
      <c r="K341" s="34" t="n">
        <f aca="false">IF(K338=0,0,K339/K338)</f>
        <v>0.121389087301587</v>
      </c>
      <c r="L341" s="34" t="n">
        <f aca="false">IF(L338=0,0,L339/L338)</f>
        <v>0.123911734693878</v>
      </c>
      <c r="M341" s="34" t="n">
        <f aca="false">IF(M338=0,0,M339/M338)</f>
        <v>0.125803720238095</v>
      </c>
      <c r="N341" s="34" t="n">
        <f aca="false">IF(N338=0,0,N339/N338)</f>
        <v>0.127275264550265</v>
      </c>
      <c r="O341" s="34" t="n">
        <f aca="false">IF(O338=0,0,O339/O338)</f>
        <v>0.128710917537747</v>
      </c>
      <c r="P341" s="34" t="n">
        <f aca="false">IF(P338=0,0,P339/P338)</f>
        <v>0.169899831156212</v>
      </c>
      <c r="Q341" s="34" t="n">
        <f aca="false">IF(Q338=0,0,Q339/Q338)</f>
        <v>0.171007620441874</v>
      </c>
      <c r="R341" s="34" t="n">
        <f aca="false">IF(R338=0,0,R339/R338)</f>
        <v>0.171735360487784</v>
      </c>
      <c r="S341" s="34" t="n">
        <f aca="false">IF(S338=0,0,S339/S338)</f>
        <v>0.172389602785847</v>
      </c>
      <c r="T341" s="34" t="n">
        <f aca="false">IF(T338=0,0,T339/T338)</f>
        <v>0.172980946415002</v>
      </c>
      <c r="U341" s="34" t="n">
        <f aca="false">IF(U338=0,0,U339/U338)</f>
        <v>0.173518045941739</v>
      </c>
      <c r="V341" s="34" t="n">
        <f aca="false">IF(V338=0,0,V339/V338)</f>
        <v>0.183388440992507</v>
      </c>
      <c r="W341" s="34" t="n">
        <f aca="false">IF(W338=0,0,W339/W338)</f>
        <v>0.183886789561037</v>
      </c>
      <c r="X341" s="34" t="n">
        <f aca="false">IF(X338=0,0,X339/X338)</f>
        <v>0.18435722302785</v>
      </c>
      <c r="Y341" s="34" t="n">
        <f aca="false">IF(Y338=0,0,Y339/Y338)</f>
        <v>0.184802022996291</v>
      </c>
      <c r="Z341" s="34" t="n">
        <f aca="false">IF(Z338=0,0,Z339/Z338)</f>
        <v>0.185223229019216</v>
      </c>
      <c r="AA341" s="34" t="n">
        <f aca="false">IF(AA338=0,0,AA339/AA338)</f>
        <v>0.185622669867959</v>
      </c>
      <c r="AB341" s="34" t="n">
        <f aca="false">IF(AB338=0,0,AB339/AB338)</f>
        <v>0.076951329044787</v>
      </c>
      <c r="AC341" s="34" t="n">
        <f aca="false">IF(AC338=0,0,AC339/AC338)</f>
        <v>0.179015631466239</v>
      </c>
    </row>
    <row r="343" customFormat="false" ht="15" hidden="false" customHeight="false" outlineLevel="0" collapsed="false">
      <c r="A343" s="5" t="s">
        <v>499</v>
      </c>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customFormat="false" ht="15" hidden="false" customHeight="false" outlineLevel="0" collapsed="false">
      <c r="A344" s="3" t="s">
        <v>500</v>
      </c>
      <c r="C344" s="63" t="n">
        <f aca="false">SUM(D293:U293)</f>
        <v>1166340</v>
      </c>
    </row>
    <row r="345" customFormat="false" ht="15" hidden="false" customHeight="false" outlineLevel="0" collapsed="false">
      <c r="A345" s="3" t="s">
        <v>501</v>
      </c>
      <c r="C345" s="63" t="n">
        <f aca="false">SUM(D305:U305)</f>
        <v>153020.18</v>
      </c>
    </row>
    <row r="346" customFormat="false" ht="15" hidden="false" customHeight="false" outlineLevel="0" collapsed="false">
      <c r="A346" s="3" t="s">
        <v>502</v>
      </c>
      <c r="C346" s="56" t="n">
        <f aca="false">IF(C344=0,0,C345/C344)</f>
        <v>0.13119688941475</v>
      </c>
    </row>
    <row r="347" customFormat="false" ht="15" hidden="false" customHeight="false" outlineLevel="0" collapsed="false">
      <c r="A347" s="3" t="s">
        <v>503</v>
      </c>
      <c r="C347" s="64" t="n">
        <f aca="false">IFERROR(MATCH(1,D311:U311,0),"none")</f>
        <v>8</v>
      </c>
    </row>
    <row r="348" customFormat="false" ht="15" hidden="false" customHeight="false" outlineLevel="0" collapsed="false">
      <c r="A348" s="3" t="s">
        <v>504</v>
      </c>
      <c r="C348" s="63" t="n">
        <f aca="false">U293*12</f>
        <v>1537200</v>
      </c>
    </row>
    <row r="349" customFormat="false" ht="15" hidden="false" customHeight="false" outlineLevel="0" collapsed="false">
      <c r="A349" s="3" t="s">
        <v>505</v>
      </c>
      <c r="C349" s="56" t="n">
        <f aca="false">U307</f>
        <v>0.1721</v>
      </c>
    </row>
    <row r="350" customFormat="false" ht="15" hidden="false" customHeight="false" outlineLevel="0" collapsed="false">
      <c r="A350" s="3" t="s">
        <v>506</v>
      </c>
      <c r="C350" s="65" t="n">
        <f aca="false">SUM(D291:U291)</f>
        <v>27770</v>
      </c>
    </row>
    <row r="351" customFormat="false" ht="15" hidden="false" customHeight="false" outlineLevel="0" collapsed="false">
      <c r="A351" s="3" t="s">
        <v>507</v>
      </c>
      <c r="C351" s="64" t="n">
        <f aca="false">IFERROR(MATCH(1,D311:AA311,0),"none")</f>
        <v>8</v>
      </c>
    </row>
    <row r="352" customFormat="false" ht="15" hidden="false" customHeight="false" outlineLevel="0" collapsed="false">
      <c r="A352" s="3" t="s">
        <v>508</v>
      </c>
      <c r="C352" s="63" t="n">
        <f aca="false">SUM(D338:AA338)</f>
        <v>2265444</v>
      </c>
    </row>
    <row r="353" customFormat="false" ht="15" hidden="false" customHeight="false" outlineLevel="0" collapsed="false">
      <c r="A353" s="3" t="s">
        <v>509</v>
      </c>
      <c r="C353" s="63" t="n">
        <f aca="false">SUM(D339:AA339)</f>
        <v>355095.420952381</v>
      </c>
    </row>
    <row r="355" customFormat="false" ht="15" hidden="false" customHeight="false" outlineLevel="0" collapsed="false">
      <c r="A355" s="5" t="s">
        <v>858</v>
      </c>
      <c r="B355" s="15"/>
      <c r="C355" s="15"/>
      <c r="D355" s="15"/>
      <c r="E355" s="15"/>
      <c r="F355" s="15"/>
      <c r="G355" s="15"/>
      <c r="H355" s="15"/>
    </row>
    <row r="356" customFormat="false" ht="15" hidden="false" customHeight="false" outlineLevel="0" collapsed="false">
      <c r="A356" s="14" t="s">
        <v>444</v>
      </c>
      <c r="B356" s="14" t="s">
        <v>53</v>
      </c>
      <c r="C356" s="14" t="s">
        <v>446</v>
      </c>
      <c r="D356" s="14" t="s">
        <v>447</v>
      </c>
      <c r="E356" s="14" t="s">
        <v>512</v>
      </c>
      <c r="F356" s="14" t="s">
        <v>513</v>
      </c>
      <c r="G356" s="14" t="s">
        <v>514</v>
      </c>
      <c r="H356" s="14" t="s">
        <v>58</v>
      </c>
    </row>
    <row r="357" customFormat="false" ht="15" hidden="false" customHeight="false" outlineLevel="0" collapsed="false">
      <c r="A357" s="9" t="s">
        <v>515</v>
      </c>
    </row>
    <row r="358" customFormat="false" ht="15" hidden="false" customHeight="false" outlineLevel="0" collapsed="false">
      <c r="A358" s="3" t="s">
        <v>516</v>
      </c>
      <c r="B358" s="3" t="s">
        <v>95</v>
      </c>
      <c r="C358" s="31" t="n">
        <f aca="false">AB291</f>
        <v>11770</v>
      </c>
      <c r="D358" s="31" t="n">
        <f aca="false">AC291</f>
        <v>36400</v>
      </c>
      <c r="E358" s="62" t="n">
        <f aca="false">D358*(1+Assumptions!$D$37)</f>
        <v>47320</v>
      </c>
      <c r="F358" s="62" t="n">
        <f aca="false">E358*(1+Assumptions!$D$38)</f>
        <v>56784</v>
      </c>
      <c r="G358" s="62" t="n">
        <f aca="false">F358*(1+Assumptions!$D$39)</f>
        <v>63598.08</v>
      </c>
      <c r="H358" s="3" t="s">
        <v>517</v>
      </c>
    </row>
    <row r="359" customFormat="false" ht="15" hidden="false" customHeight="false" outlineLevel="0" collapsed="false">
      <c r="A359" s="3" t="s">
        <v>518</v>
      </c>
      <c r="B359" s="3" t="s">
        <v>454</v>
      </c>
      <c r="C359" s="40" t="n">
        <f aca="false">AB292</f>
        <v>42</v>
      </c>
      <c r="D359" s="40" t="n">
        <f aca="false">AC292</f>
        <v>42</v>
      </c>
      <c r="E359" s="35" t="n">
        <f aca="false">D359*(1+Assumptions!$D$40)*IF(3=3,1+Assumptions!$D$41,1)</f>
        <v>41.5296</v>
      </c>
      <c r="F359" s="35" t="n">
        <f aca="false">E359*(1+Assumptions!$D$40)*IF(4=3,1+Assumptions!$D$41,1)</f>
        <v>39.868416</v>
      </c>
      <c r="G359" s="35" t="n">
        <f aca="false">F359*(1+Assumptions!$D$40)*IF(5=3,1+Assumptions!$D$41,1)</f>
        <v>38.27367936</v>
      </c>
      <c r="H359" s="3"/>
    </row>
    <row r="360" customFormat="false" ht="15" hidden="false" customHeight="false" outlineLevel="0" collapsed="false">
      <c r="A360" s="3" t="s">
        <v>519</v>
      </c>
      <c r="B360" s="3" t="s">
        <v>66</v>
      </c>
      <c r="C360" s="34" t="n">
        <f aca="false">AB314</f>
        <v>0.38</v>
      </c>
      <c r="D360" s="34" t="n">
        <f aca="false">AC314</f>
        <v>0.371593406593407</v>
      </c>
      <c r="E360" s="54" t="n">
        <f aca="false">LandedPctMedium+Assumptions!$D$34</f>
        <v>0.365</v>
      </c>
      <c r="F360" s="54" t="n">
        <f aca="false">LandedPctMedium+Assumptions!$D$35</f>
        <v>0.37</v>
      </c>
      <c r="G360" s="54" t="n">
        <f aca="false">LandedPctMedium+Assumptions!$D$36</f>
        <v>0.375</v>
      </c>
      <c r="H360" s="3"/>
    </row>
    <row r="361" customFormat="false" ht="15" hidden="false" customHeight="false" outlineLevel="0" collapsed="false">
      <c r="A361" s="3" t="s">
        <v>520</v>
      </c>
      <c r="B361" s="3" t="s">
        <v>66</v>
      </c>
      <c r="C361" s="34" t="n">
        <f aca="false">AB317</f>
        <v>0.171274426508071</v>
      </c>
      <c r="D361" s="34" t="n">
        <f aca="false">AC317</f>
        <v>0.11</v>
      </c>
      <c r="E361" s="54" t="n">
        <f aca="false">Assumptions!$D$42</f>
        <v>0.115</v>
      </c>
      <c r="F361" s="54" t="n">
        <f aca="false">Assumptions!$D$43</f>
        <v>0.115</v>
      </c>
      <c r="G361" s="54" t="n">
        <f aca="false">Assumptions!$D$44</f>
        <v>0.115</v>
      </c>
      <c r="H361" s="3"/>
    </row>
    <row r="362" customFormat="false" ht="15" hidden="false" customHeight="false" outlineLevel="0" collapsed="false">
      <c r="A362" s="3" t="s">
        <v>521</v>
      </c>
      <c r="B362" s="3" t="s">
        <v>66</v>
      </c>
      <c r="C362" s="34" t="n">
        <f aca="false">AB316</f>
        <v>0.03</v>
      </c>
      <c r="D362" s="34" t="n">
        <f aca="false">AC316</f>
        <v>0.0271978021978022</v>
      </c>
      <c r="E362" s="54" t="n">
        <f aca="false">Assumptions!$D$31</f>
        <v>0.025</v>
      </c>
      <c r="F362" s="54" t="n">
        <f aca="false">Assumptions!$D$31</f>
        <v>0.025</v>
      </c>
      <c r="G362" s="54" t="n">
        <f aca="false">Assumptions!$D$31</f>
        <v>0.025</v>
      </c>
      <c r="H362" s="3"/>
    </row>
    <row r="363" customFormat="false" ht="15" hidden="false" customHeight="false" outlineLevel="0" collapsed="false">
      <c r="A363" s="3" t="s">
        <v>522</v>
      </c>
      <c r="B363" s="3" t="s">
        <v>454</v>
      </c>
      <c r="C363" s="40" t="n">
        <f aca="false">AB315</f>
        <v>5.5</v>
      </c>
      <c r="D363" s="40" t="n">
        <f aca="false">AC315</f>
        <v>5.59247252747253</v>
      </c>
      <c r="E363" s="35" t="n">
        <f aca="false">Assumptions!$D$20*(1+Assumptions!$D$32)^(3-1)</f>
        <v>5.83495</v>
      </c>
      <c r="F363" s="35" t="n">
        <f aca="false">Assumptions!$D$20*(1+Assumptions!$D$32)^(4-1)</f>
        <v>6.0099985</v>
      </c>
      <c r="G363" s="35" t="n">
        <f aca="false">Assumptions!$D$20*(1+Assumptions!$D$32)^(5-1)</f>
        <v>6.190298455</v>
      </c>
      <c r="H363" s="3"/>
    </row>
    <row r="365" customFormat="false" ht="15" hidden="false" customHeight="false" outlineLevel="0" collapsed="false">
      <c r="A365" s="9" t="s">
        <v>523</v>
      </c>
    </row>
    <row r="366" customFormat="false" ht="15" hidden="false" customHeight="false" outlineLevel="0" collapsed="false">
      <c r="A366" s="3" t="s">
        <v>524</v>
      </c>
      <c r="B366" s="3" t="s">
        <v>95</v>
      </c>
      <c r="C366" s="31" t="n">
        <f aca="false">AB291</f>
        <v>11770</v>
      </c>
      <c r="D366" s="31" t="n">
        <f aca="false">AC291</f>
        <v>36400</v>
      </c>
      <c r="E366" s="31" t="n">
        <f aca="false">E358</f>
        <v>47320</v>
      </c>
      <c r="F366" s="31" t="n">
        <f aca="false">F358</f>
        <v>56784</v>
      </c>
      <c r="G366" s="31" t="n">
        <f aca="false">G358</f>
        <v>63598.08</v>
      </c>
      <c r="H366" s="3"/>
    </row>
    <row r="367" customFormat="false" ht="15" hidden="false" customHeight="false" outlineLevel="0" collapsed="false">
      <c r="A367" s="9" t="s">
        <v>455</v>
      </c>
      <c r="B367" s="3" t="s">
        <v>62</v>
      </c>
      <c r="C367" s="29" t="n">
        <f aca="false">AB293</f>
        <v>494340</v>
      </c>
      <c r="D367" s="29" t="n">
        <f aca="false">AC293</f>
        <v>1528800</v>
      </c>
      <c r="E367" s="29" t="n">
        <f aca="false">E366*E359</f>
        <v>1965180.672</v>
      </c>
      <c r="F367" s="29" t="n">
        <f aca="false">F366*F359</f>
        <v>2263888.134144</v>
      </c>
      <c r="G367" s="29" t="n">
        <f aca="false">G366*G359</f>
        <v>2434132.52183163</v>
      </c>
      <c r="H367" s="3"/>
    </row>
    <row r="368" customFormat="false" ht="15" hidden="false" customHeight="false" outlineLevel="0" collapsed="false">
      <c r="A368" s="3" t="s">
        <v>456</v>
      </c>
      <c r="B368" s="3" t="s">
        <v>62</v>
      </c>
      <c r="C368" s="38" t="n">
        <f aca="false">AB294</f>
        <v>187849.2</v>
      </c>
      <c r="D368" s="38" t="n">
        <f aca="false">AC294</f>
        <v>568092</v>
      </c>
      <c r="E368" s="38" t="n">
        <f aca="false">E367*E360</f>
        <v>717290.94528</v>
      </c>
      <c r="F368" s="38" t="n">
        <f aca="false">F367*F360</f>
        <v>837638.60963328</v>
      </c>
      <c r="G368" s="38" t="n">
        <f aca="false">G367*G360</f>
        <v>912799.695686861</v>
      </c>
      <c r="H368" s="3"/>
    </row>
    <row r="369" customFormat="false" ht="15" hidden="false" customHeight="false" outlineLevel="0" collapsed="false">
      <c r="A369" s="3" t="s">
        <v>525</v>
      </c>
      <c r="B369" s="3" t="s">
        <v>62</v>
      </c>
      <c r="C369" s="38" t="n">
        <f aca="false">AB295</f>
        <v>74151</v>
      </c>
      <c r="D369" s="38" t="n">
        <f aca="false">AC295</f>
        <v>229320</v>
      </c>
      <c r="E369" s="60" t="n">
        <f aca="false">E367*Assumptions!$D$19</f>
        <v>294777.1008</v>
      </c>
      <c r="F369" s="60" t="n">
        <f aca="false">F367*Assumptions!$D$19</f>
        <v>339583.2201216</v>
      </c>
      <c r="G369" s="60" t="n">
        <f aca="false">G367*Assumptions!$D$19</f>
        <v>365119.878274744</v>
      </c>
      <c r="H369" s="3"/>
    </row>
    <row r="370" customFormat="false" ht="15" hidden="false" customHeight="false" outlineLevel="0" collapsed="false">
      <c r="A370" s="3" t="s">
        <v>526</v>
      </c>
      <c r="B370" s="3" t="s">
        <v>62</v>
      </c>
      <c r="C370" s="38" t="n">
        <f aca="false">AB296</f>
        <v>64735</v>
      </c>
      <c r="D370" s="38" t="n">
        <f aca="false">AC296</f>
        <v>203566</v>
      </c>
      <c r="E370" s="38" t="n">
        <f aca="false">E366*E363</f>
        <v>276109.834</v>
      </c>
      <c r="F370" s="38" t="n">
        <f aca="false">F366*F363</f>
        <v>341271.754824</v>
      </c>
      <c r="G370" s="38" t="n">
        <f aca="false">G366*G363</f>
        <v>393691.096364967</v>
      </c>
      <c r="H370" s="3"/>
    </row>
    <row r="371" customFormat="false" ht="15" hidden="false" customHeight="false" outlineLevel="0" collapsed="false">
      <c r="A371" s="3" t="s">
        <v>527</v>
      </c>
      <c r="B371" s="3" t="s">
        <v>62</v>
      </c>
      <c r="C371" s="38" t="n">
        <f aca="false">AB299</f>
        <v>84667.8</v>
      </c>
      <c r="D371" s="38" t="n">
        <f aca="false">AC299</f>
        <v>168168</v>
      </c>
      <c r="E371" s="38" t="n">
        <f aca="false">E367*E361</f>
        <v>225995.77728</v>
      </c>
      <c r="F371" s="38" t="n">
        <f aca="false">F367*F361</f>
        <v>260347.13542656</v>
      </c>
      <c r="G371" s="38" t="n">
        <f aca="false">G367*G361</f>
        <v>279925.240010637</v>
      </c>
      <c r="H371" s="3"/>
    </row>
    <row r="372" customFormat="false" ht="15" hidden="false" customHeight="false" outlineLevel="0" collapsed="false">
      <c r="A372" s="3" t="s">
        <v>321</v>
      </c>
      <c r="B372" s="3" t="s">
        <v>62</v>
      </c>
      <c r="C372" s="38" t="n">
        <f aca="false">AB297+AB298</f>
        <v>24717</v>
      </c>
      <c r="D372" s="38" t="n">
        <f aca="false">AC297+AC298</f>
        <v>72156</v>
      </c>
      <c r="E372" s="60" t="n">
        <f aca="false">E367*(E362+Assumptions!$D$21)</f>
        <v>88433.13024</v>
      </c>
      <c r="F372" s="60" t="n">
        <f aca="false">F367*(F362+Assumptions!$D$21)</f>
        <v>101874.96603648</v>
      </c>
      <c r="G372" s="60" t="n">
        <f aca="false">G367*(G362+Assumptions!$D$21)</f>
        <v>109535.963482423</v>
      </c>
      <c r="H372" s="3"/>
    </row>
    <row r="373" customFormat="false" ht="15" hidden="false" customHeight="false" outlineLevel="0" collapsed="false">
      <c r="A373" s="9" t="s">
        <v>528</v>
      </c>
      <c r="B373" s="3" t="s">
        <v>62</v>
      </c>
      <c r="C373" s="29" t="n">
        <f aca="false">C367-C368-C369-C370-C371-C372</f>
        <v>58220</v>
      </c>
      <c r="D373" s="29" t="n">
        <f aca="false">D367-D368-D369-D370-D371-D372</f>
        <v>287498</v>
      </c>
      <c r="E373" s="29" t="n">
        <f aca="false">E367-E368-E369-E370-E371-E372</f>
        <v>362573.8844</v>
      </c>
      <c r="F373" s="29" t="n">
        <f aca="false">F367-F368-F369-F370-F371-F372</f>
        <v>383172.44810208</v>
      </c>
      <c r="G373" s="29" t="n">
        <f aca="false">G367-G368-G369-G370-G371-G372</f>
        <v>373060.648011997</v>
      </c>
      <c r="H373" s="3"/>
    </row>
    <row r="374" customFormat="false" ht="15" hidden="false" customHeight="false" outlineLevel="0" collapsed="false">
      <c r="A374" s="9" t="s">
        <v>529</v>
      </c>
    </row>
    <row r="375" customFormat="false" ht="15" hidden="false" customHeight="false" outlineLevel="0" collapsed="false">
      <c r="A375" s="3" t="s">
        <v>524</v>
      </c>
      <c r="B375" s="3" t="s">
        <v>95</v>
      </c>
      <c r="C375" s="31" t="n">
        <f aca="false">AB321</f>
        <v>0</v>
      </c>
      <c r="D375" s="31" t="n">
        <f aca="false">AC321</f>
        <v>2912</v>
      </c>
      <c r="E375" s="31" t="n">
        <f aca="false">IF(E359=0,0,E376/E359)</f>
        <v>4732</v>
      </c>
      <c r="F375" s="31" t="n">
        <f aca="false">IF(F359=0,0,F376/F359)</f>
        <v>6814.08</v>
      </c>
      <c r="G375" s="31" t="n">
        <f aca="false">IF(G359=0,0,G376/G359)</f>
        <v>7631.7696</v>
      </c>
      <c r="H375" s="3"/>
    </row>
    <row r="376" customFormat="false" ht="15" hidden="false" customHeight="false" outlineLevel="0" collapsed="false">
      <c r="A376" s="9" t="s">
        <v>455</v>
      </c>
      <c r="B376" s="3" t="s">
        <v>62</v>
      </c>
      <c r="C376" s="29" t="n">
        <f aca="false">AB320</f>
        <v>0</v>
      </c>
      <c r="D376" s="29" t="n">
        <f aca="false">AC320</f>
        <v>122304</v>
      </c>
      <c r="E376" s="61" t="n">
        <f aca="false">E367*Assumptions!$D$50</f>
        <v>196518.0672</v>
      </c>
      <c r="F376" s="61" t="n">
        <f aca="false">F367*Assumptions!$D$51</f>
        <v>271666.57609728</v>
      </c>
      <c r="G376" s="61" t="n">
        <f aca="false">G367*Assumptions!$D$52</f>
        <v>292095.902619796</v>
      </c>
      <c r="H376" s="3"/>
    </row>
    <row r="377" customFormat="false" ht="15" hidden="false" customHeight="false" outlineLevel="0" collapsed="false">
      <c r="A377" s="3" t="s">
        <v>456</v>
      </c>
      <c r="B377" s="3" t="s">
        <v>62</v>
      </c>
      <c r="C377" s="38" t="n">
        <f aca="false">AB322</f>
        <v>0</v>
      </c>
      <c r="D377" s="38" t="n">
        <f aca="false">AC322</f>
        <v>45447.36</v>
      </c>
      <c r="E377" s="38" t="n">
        <f aca="false">E376*E360</f>
        <v>71729.094528</v>
      </c>
      <c r="F377" s="38" t="n">
        <f aca="false">F376*F360</f>
        <v>100516.633155994</v>
      </c>
      <c r="G377" s="38" t="n">
        <f aca="false">G376*G360</f>
        <v>109535.963482423</v>
      </c>
      <c r="H377" s="3"/>
    </row>
    <row r="378" customFormat="false" ht="15" hidden="false" customHeight="false" outlineLevel="0" collapsed="false">
      <c r="A378" s="3" t="s">
        <v>525</v>
      </c>
      <c r="B378" s="3" t="s">
        <v>62</v>
      </c>
      <c r="C378" s="38" t="n">
        <f aca="false">AB323</f>
        <v>0</v>
      </c>
      <c r="D378" s="38" t="n">
        <f aca="false">AC323</f>
        <v>15899.52</v>
      </c>
      <c r="E378" s="60" t="n">
        <f aca="false">E376*Assumptions!$D$66</f>
        <v>25547.348736</v>
      </c>
      <c r="F378" s="60" t="n">
        <f aca="false">F376*Assumptions!$D$66</f>
        <v>35316.6548926464</v>
      </c>
      <c r="G378" s="60" t="n">
        <f aca="false">G376*Assumptions!$D$66</f>
        <v>37972.4673405734</v>
      </c>
      <c r="H378" s="3"/>
    </row>
    <row r="379" customFormat="false" ht="15" hidden="false" customHeight="false" outlineLevel="0" collapsed="false">
      <c r="A379" s="3" t="s">
        <v>526</v>
      </c>
      <c r="B379" s="3" t="s">
        <v>62</v>
      </c>
      <c r="C379" s="38" t="n">
        <f aca="false">AB324</f>
        <v>0</v>
      </c>
      <c r="D379" s="38" t="n">
        <f aca="false">AC324</f>
        <v>18928</v>
      </c>
      <c r="E379" s="60" t="n">
        <f aca="false">E375*Assumptions!$D$67</f>
        <v>30758</v>
      </c>
      <c r="F379" s="60" t="n">
        <f aca="false">F375*Assumptions!$D$67</f>
        <v>44291.52</v>
      </c>
      <c r="G379" s="60" t="n">
        <f aca="false">G375*Assumptions!$D$67</f>
        <v>49606.5024</v>
      </c>
      <c r="H379" s="3"/>
    </row>
    <row r="380" customFormat="false" ht="15" hidden="false" customHeight="false" outlineLevel="0" collapsed="false">
      <c r="A380" s="3" t="s">
        <v>527</v>
      </c>
      <c r="B380" s="3" t="s">
        <v>62</v>
      </c>
      <c r="C380" s="38" t="n">
        <f aca="false">AB325</f>
        <v>0</v>
      </c>
      <c r="D380" s="38" t="n">
        <f aca="false">AC325</f>
        <v>6115.2</v>
      </c>
      <c r="E380" s="60" t="n">
        <f aca="false">E376*Assumptions!$D$68</f>
        <v>9825.90336</v>
      </c>
      <c r="F380" s="60" t="n">
        <f aca="false">F376*Assumptions!$D$68</f>
        <v>13583.328804864</v>
      </c>
      <c r="G380" s="60" t="n">
        <f aca="false">G376*Assumptions!$D$68</f>
        <v>14604.7951309898</v>
      </c>
      <c r="H380" s="3"/>
    </row>
    <row r="381" customFormat="false" ht="15" hidden="false" customHeight="false" outlineLevel="0" collapsed="false">
      <c r="A381" s="3" t="s">
        <v>321</v>
      </c>
      <c r="B381" s="3" t="s">
        <v>62</v>
      </c>
      <c r="C381" s="38" t="n">
        <f aca="false">AB326</f>
        <v>0</v>
      </c>
      <c r="D381" s="38" t="n">
        <f aca="false">AC326</f>
        <v>3669.12</v>
      </c>
      <c r="E381" s="60" t="n">
        <f aca="false">E376*Assumptions!$D$69</f>
        <v>5895.542016</v>
      </c>
      <c r="F381" s="60" t="n">
        <f aca="false">F376*Assumptions!$D$69</f>
        <v>8149.9972829184</v>
      </c>
      <c r="G381" s="60" t="n">
        <f aca="false">G376*Assumptions!$D$69</f>
        <v>8762.87707859387</v>
      </c>
      <c r="H381" s="3"/>
    </row>
    <row r="382" customFormat="false" ht="15" hidden="false" customHeight="false" outlineLevel="0" collapsed="false">
      <c r="A382" s="9" t="s">
        <v>528</v>
      </c>
      <c r="B382" s="3" t="s">
        <v>62</v>
      </c>
      <c r="C382" s="29" t="n">
        <f aca="false">C376-C377-C378-C379-C380-C381</f>
        <v>0</v>
      </c>
      <c r="D382" s="29" t="n">
        <f aca="false">D376-D377-D378-D379-D380-D381</f>
        <v>32244.8</v>
      </c>
      <c r="E382" s="29" t="n">
        <f aca="false">E376-E377-E378-E379-E380-E381</f>
        <v>52762.17856</v>
      </c>
      <c r="F382" s="29" t="n">
        <f aca="false">F376-F377-F378-F379-F380-F381</f>
        <v>69808.4419608576</v>
      </c>
      <c r="G382" s="29" t="n">
        <f aca="false">G376-G377-G378-G379-G380-G381</f>
        <v>71613.2971872151</v>
      </c>
      <c r="H382" s="3"/>
    </row>
    <row r="383" customFormat="false" ht="15" hidden="false" customHeight="false" outlineLevel="0" collapsed="false">
      <c r="A383" s="9" t="s">
        <v>530</v>
      </c>
    </row>
    <row r="384" customFormat="false" ht="15" hidden="false" customHeight="false" outlineLevel="0" collapsed="false">
      <c r="A384" s="3" t="s">
        <v>524</v>
      </c>
      <c r="B384" s="3" t="s">
        <v>95</v>
      </c>
      <c r="C384" s="31" t="n">
        <f aca="false">AB329</f>
        <v>0</v>
      </c>
      <c r="D384" s="31" t="n">
        <f aca="false">AC329</f>
        <v>4761.90476190476</v>
      </c>
      <c r="E384" s="62" t="n">
        <f aca="false">IF(E359=0,0,E385/(E359*Assumptions!$D$70))</f>
        <v>14046.2064005753</v>
      </c>
      <c r="F384" s="62" t="n">
        <f aca="false">IF(F359=0,0,F385/(F359*Assumptions!$D$70))</f>
        <v>25082.5114295988</v>
      </c>
      <c r="G384" s="62" t="n">
        <f aca="false">IF(G359=0,0,G385/(G359*Assumptions!$D$70))</f>
        <v>37014.1227693732</v>
      </c>
      <c r="H384" s="3"/>
    </row>
    <row r="385" customFormat="false" ht="15" hidden="false" customHeight="false" outlineLevel="0" collapsed="false">
      <c r="A385" s="9" t="s">
        <v>455</v>
      </c>
      <c r="B385" s="3" t="s">
        <v>62</v>
      </c>
      <c r="C385" s="29" t="n">
        <f aca="false">AB328</f>
        <v>0</v>
      </c>
      <c r="D385" s="29" t="n">
        <f aca="false">AC328</f>
        <v>120000</v>
      </c>
      <c r="E385" s="61" t="n">
        <f aca="false">Assumptions!$D$54</f>
        <v>350000</v>
      </c>
      <c r="F385" s="61" t="n">
        <f aca="false">Assumptions!$D$55</f>
        <v>600000</v>
      </c>
      <c r="G385" s="61" t="n">
        <f aca="false">Assumptions!$D$56</f>
        <v>850000</v>
      </c>
      <c r="H385" s="3"/>
    </row>
    <row r="386" customFormat="false" ht="15" hidden="false" customHeight="false" outlineLevel="0" collapsed="false">
      <c r="A386" s="3" t="s">
        <v>456</v>
      </c>
      <c r="B386" s="3" t="s">
        <v>62</v>
      </c>
      <c r="C386" s="38" t="n">
        <f aca="false">AB330</f>
        <v>0</v>
      </c>
      <c r="D386" s="38" t="n">
        <f aca="false">AC330</f>
        <v>74500</v>
      </c>
      <c r="E386" s="38" t="n">
        <f aca="false">E384*E359*E360</f>
        <v>212916.666666667</v>
      </c>
      <c r="F386" s="38" t="n">
        <f aca="false">F384*F359*F360</f>
        <v>370000</v>
      </c>
      <c r="G386" s="38" t="n">
        <f aca="false">G384*G359*G360</f>
        <v>531250</v>
      </c>
      <c r="H386" s="3"/>
    </row>
    <row r="387" customFormat="false" ht="15" hidden="false" customHeight="false" outlineLevel="0" collapsed="false">
      <c r="A387" s="3" t="s">
        <v>525</v>
      </c>
      <c r="B387" s="3" t="s">
        <v>62</v>
      </c>
      <c r="C387" s="38" t="n">
        <f aca="false">AB332</f>
        <v>0</v>
      </c>
      <c r="D387" s="38" t="n">
        <f aca="false">AC332</f>
        <v>6000</v>
      </c>
      <c r="E387" s="60" t="n">
        <f aca="false">E385*Assumptions!$D$72</f>
        <v>17500</v>
      </c>
      <c r="F387" s="60" t="n">
        <f aca="false">F385*Assumptions!$D$72</f>
        <v>30000</v>
      </c>
      <c r="G387" s="60" t="n">
        <f aca="false">G385*Assumptions!$D$72</f>
        <v>42500</v>
      </c>
      <c r="H387" s="3"/>
    </row>
    <row r="388" customFormat="false" ht="15" hidden="false" customHeight="false" outlineLevel="0" collapsed="false">
      <c r="A388" s="3" t="s">
        <v>526</v>
      </c>
      <c r="B388" s="3" t="s">
        <v>62</v>
      </c>
      <c r="C388" s="38" t="n">
        <f aca="false">AB331</f>
        <v>0</v>
      </c>
      <c r="D388" s="38" t="n">
        <f aca="false">AC331</f>
        <v>19047.619047619</v>
      </c>
      <c r="E388" s="60" t="n">
        <f aca="false">E384*Assumptions!$D$71</f>
        <v>56184.8256023013</v>
      </c>
      <c r="F388" s="60" t="n">
        <f aca="false">F384*Assumptions!$D$71</f>
        <v>100330.045718395</v>
      </c>
      <c r="G388" s="60" t="n">
        <f aca="false">G384*Assumptions!$D$71</f>
        <v>148056.491077493</v>
      </c>
      <c r="H388" s="3"/>
    </row>
    <row r="389" customFormat="false" ht="15" hidden="false" customHeight="false" outlineLevel="0" collapsed="false">
      <c r="A389" s="3" t="s">
        <v>527</v>
      </c>
      <c r="B389" s="3" t="s">
        <v>62</v>
      </c>
      <c r="C389" s="38" t="n">
        <f aca="false">AB333</f>
        <v>0</v>
      </c>
      <c r="D389" s="38" t="n">
        <f aca="false">AC333</f>
        <v>3600</v>
      </c>
      <c r="E389" s="60" t="n">
        <f aca="false">E385*Assumptions!$D$73</f>
        <v>10500</v>
      </c>
      <c r="F389" s="60" t="n">
        <f aca="false">F385*Assumptions!$D$73</f>
        <v>18000</v>
      </c>
      <c r="G389" s="60" t="n">
        <f aca="false">G385*Assumptions!$D$73</f>
        <v>25500</v>
      </c>
      <c r="H389" s="3"/>
    </row>
    <row r="390" customFormat="false" ht="15" hidden="false" customHeight="false" outlineLevel="0" collapsed="false">
      <c r="A390" s="3" t="s">
        <v>321</v>
      </c>
      <c r="B390" s="3" t="s">
        <v>62</v>
      </c>
      <c r="C390" s="38" t="n">
        <f aca="false">AB334</f>
        <v>0</v>
      </c>
      <c r="D390" s="38" t="n">
        <f aca="false">AC334</f>
        <v>2400</v>
      </c>
      <c r="E390" s="60" t="n">
        <f aca="false">E385*Assumptions!$D$74</f>
        <v>7000</v>
      </c>
      <c r="F390" s="60" t="n">
        <f aca="false">F385*Assumptions!$D$74</f>
        <v>12000</v>
      </c>
      <c r="G390" s="60" t="n">
        <f aca="false">G385*Assumptions!$D$74</f>
        <v>17000</v>
      </c>
      <c r="H390" s="3"/>
    </row>
    <row r="391" customFormat="false" ht="15" hidden="false" customHeight="false" outlineLevel="0" collapsed="false">
      <c r="A391" s="9" t="s">
        <v>528</v>
      </c>
      <c r="B391" s="3" t="s">
        <v>62</v>
      </c>
      <c r="C391" s="29" t="n">
        <f aca="false">C385-C386-C387-C388-C389-C390</f>
        <v>0</v>
      </c>
      <c r="D391" s="29" t="n">
        <f aca="false">D385-D386-D387-D388-D389-D390</f>
        <v>14452.380952381</v>
      </c>
      <c r="E391" s="29" t="n">
        <f aca="false">E385-E386-E387-E388-E389-E390</f>
        <v>45898.507731032</v>
      </c>
      <c r="F391" s="29" t="n">
        <f aca="false">F385-F386-F387-F388-F389-F390</f>
        <v>69669.9542816047</v>
      </c>
      <c r="G391" s="29" t="n">
        <f aca="false">G385-G386-G387-G388-G389-G390</f>
        <v>85693.508922507</v>
      </c>
      <c r="H391" s="3"/>
    </row>
    <row r="392" customFormat="false" ht="15" hidden="false" customHeight="false" outlineLevel="0" collapsed="false">
      <c r="A392" s="9" t="s">
        <v>531</v>
      </c>
    </row>
    <row r="393" customFormat="false" ht="15" hidden="false" customHeight="false" outlineLevel="0" collapsed="false">
      <c r="A393" s="3" t="s">
        <v>524</v>
      </c>
      <c r="B393" s="3" t="s">
        <v>95</v>
      </c>
      <c r="C393" s="31" t="n">
        <f aca="false">0</f>
        <v>0</v>
      </c>
      <c r="D393" s="31" t="n">
        <f aca="false">0</f>
        <v>0</v>
      </c>
      <c r="E393" s="31" t="n">
        <f aca="false">IF(E359=0,0,E394/E359)</f>
        <v>2407.92109724149</v>
      </c>
      <c r="F393" s="31" t="n">
        <f aca="false">IF(F359=0,0,F394/F359)</f>
        <v>6270.6278573997</v>
      </c>
      <c r="G393" s="31" t="n">
        <f aca="false">IF(G359=0,0,G394/G359)</f>
        <v>10451.0464289995</v>
      </c>
      <c r="H393" s="3"/>
    </row>
    <row r="394" customFormat="false" ht="15" hidden="false" customHeight="false" outlineLevel="0" collapsed="false">
      <c r="A394" s="9" t="s">
        <v>455</v>
      </c>
      <c r="B394" s="3" t="s">
        <v>62</v>
      </c>
      <c r="C394" s="29" t="n">
        <f aca="false">0</f>
        <v>0</v>
      </c>
      <c r="D394" s="29" t="n">
        <f aca="false">0</f>
        <v>0</v>
      </c>
      <c r="E394" s="61" t="n">
        <f aca="false">Assumptions!$D$57</f>
        <v>100000</v>
      </c>
      <c r="F394" s="61" t="n">
        <f aca="false">Assumptions!$D$58</f>
        <v>250000</v>
      </c>
      <c r="G394" s="61" t="n">
        <f aca="false">Assumptions!$D$59</f>
        <v>400000</v>
      </c>
      <c r="H394" s="3"/>
    </row>
    <row r="395" customFormat="false" ht="15" hidden="false" customHeight="false" outlineLevel="0" collapsed="false">
      <c r="A395" s="3" t="s">
        <v>456</v>
      </c>
      <c r="B395" s="3" t="s">
        <v>62</v>
      </c>
      <c r="C395" s="38" t="n">
        <f aca="false">0</f>
        <v>0</v>
      </c>
      <c r="D395" s="38" t="n">
        <f aca="false">0</f>
        <v>0</v>
      </c>
      <c r="E395" s="38" t="n">
        <f aca="false">E394*E360</f>
        <v>36500</v>
      </c>
      <c r="F395" s="38" t="n">
        <f aca="false">F394*F360</f>
        <v>92500</v>
      </c>
      <c r="G395" s="38" t="n">
        <f aca="false">G394*G360</f>
        <v>150000</v>
      </c>
      <c r="H395" s="3"/>
    </row>
    <row r="396" customFormat="false" ht="15" hidden="false" customHeight="false" outlineLevel="0" collapsed="false">
      <c r="A396" s="3" t="s">
        <v>525</v>
      </c>
      <c r="B396" s="3" t="s">
        <v>62</v>
      </c>
      <c r="C396" s="38" t="n">
        <f aca="false">0</f>
        <v>0</v>
      </c>
      <c r="D396" s="38" t="n">
        <f aca="false">0</f>
        <v>0</v>
      </c>
      <c r="E396" s="60" t="n">
        <f aca="false">E394*Assumptions!$D$75</f>
        <v>3000</v>
      </c>
      <c r="F396" s="60" t="n">
        <f aca="false">F394*Assumptions!$D$75</f>
        <v>7500</v>
      </c>
      <c r="G396" s="60" t="n">
        <f aca="false">G394*Assumptions!$D$75</f>
        <v>12000</v>
      </c>
      <c r="H396" s="3"/>
    </row>
    <row r="397" customFormat="false" ht="15" hidden="false" customHeight="false" outlineLevel="0" collapsed="false">
      <c r="A397" s="3" t="s">
        <v>526</v>
      </c>
      <c r="B397" s="3" t="s">
        <v>62</v>
      </c>
      <c r="C397" s="38" t="n">
        <f aca="false">0</f>
        <v>0</v>
      </c>
      <c r="D397" s="38" t="n">
        <f aca="false">0</f>
        <v>0</v>
      </c>
      <c r="E397" s="60" t="n">
        <f aca="false">E393*Assumptions!$D$76</f>
        <v>26487.1320696563</v>
      </c>
      <c r="F397" s="60" t="n">
        <f aca="false">F393*Assumptions!$D$76</f>
        <v>68976.9064313967</v>
      </c>
      <c r="G397" s="60" t="n">
        <f aca="false">G393*Assumptions!$D$76</f>
        <v>114961.510718995</v>
      </c>
      <c r="H397" s="3"/>
    </row>
    <row r="398" customFormat="false" ht="15" hidden="false" customHeight="false" outlineLevel="0" collapsed="false">
      <c r="A398" s="3" t="s">
        <v>527</v>
      </c>
      <c r="B398" s="3" t="s">
        <v>62</v>
      </c>
      <c r="C398" s="38" t="n">
        <f aca="false">0</f>
        <v>0</v>
      </c>
      <c r="D398" s="38" t="n">
        <f aca="false">0</f>
        <v>0</v>
      </c>
      <c r="E398" s="60" t="n">
        <f aca="false">E394*Assumptions!$D$77</f>
        <v>15000</v>
      </c>
      <c r="F398" s="60" t="n">
        <f aca="false">F394*Assumptions!$D$77</f>
        <v>37500</v>
      </c>
      <c r="G398" s="60" t="n">
        <f aca="false">G394*Assumptions!$D$77</f>
        <v>60000</v>
      </c>
      <c r="H398" s="3"/>
    </row>
    <row r="399" customFormat="false" ht="15" hidden="false" customHeight="false" outlineLevel="0" collapsed="false">
      <c r="A399" s="3" t="s">
        <v>321</v>
      </c>
      <c r="B399" s="3" t="s">
        <v>62</v>
      </c>
      <c r="C399" s="38" t="n">
        <f aca="false">0</f>
        <v>0</v>
      </c>
      <c r="D399" s="38" t="n">
        <f aca="false">0</f>
        <v>0</v>
      </c>
      <c r="E399" s="60" t="n">
        <f aca="false">E394*Assumptions!$D$78</f>
        <v>3000</v>
      </c>
      <c r="F399" s="60" t="n">
        <f aca="false">F394*Assumptions!$D$78</f>
        <v>7500</v>
      </c>
      <c r="G399" s="60" t="n">
        <f aca="false">G394*Assumptions!$D$78</f>
        <v>12000</v>
      </c>
      <c r="H399" s="3"/>
    </row>
    <row r="400" customFormat="false" ht="15" hidden="false" customHeight="false" outlineLevel="0" collapsed="false">
      <c r="A400" s="9" t="s">
        <v>528</v>
      </c>
      <c r="B400" s="3" t="s">
        <v>62</v>
      </c>
      <c r="C400" s="29" t="n">
        <f aca="false">C394-C395-C396-C397-C398-C399</f>
        <v>0</v>
      </c>
      <c r="D400" s="29" t="n">
        <f aca="false">D394-D395-D396-D397-D398-D399</f>
        <v>0</v>
      </c>
      <c r="E400" s="29" t="n">
        <f aca="false">E394-E395-E396-E397-E398-E399</f>
        <v>16012.8679303437</v>
      </c>
      <c r="F400" s="29" t="n">
        <f aca="false">F394-F395-F396-F397-F398-F399</f>
        <v>36023.0935686033</v>
      </c>
      <c r="G400" s="29" t="n">
        <f aca="false">G394-G395-G396-G397-G398-G399</f>
        <v>51038.4892810055</v>
      </c>
      <c r="H400" s="3"/>
    </row>
    <row r="401" customFormat="false" ht="15" hidden="false" customHeight="false" outlineLevel="0" collapsed="false">
      <c r="A401" s="9" t="s">
        <v>532</v>
      </c>
    </row>
    <row r="402" customFormat="false" ht="15" hidden="false" customHeight="false" outlineLevel="0" collapsed="false">
      <c r="A402" s="3" t="s">
        <v>524</v>
      </c>
      <c r="B402" s="3" t="s">
        <v>95</v>
      </c>
      <c r="C402" s="31" t="n">
        <f aca="false">0</f>
        <v>0</v>
      </c>
      <c r="D402" s="31" t="n">
        <f aca="false">0</f>
        <v>0</v>
      </c>
      <c r="E402" s="62" t="n">
        <f aca="false">IF(E359=0,0,E403/(E359*Assumptions!$D$79))</f>
        <v>0</v>
      </c>
      <c r="F402" s="62" t="n">
        <f aca="false">IF(F359=0,0,F403/(F359*Assumptions!$D$79))</f>
        <v>3271.63192559984</v>
      </c>
      <c r="G402" s="62" t="n">
        <f aca="false">IF(G359=0,0,G403/(G359*Assumptions!$D$79))</f>
        <v>7099.89567187466</v>
      </c>
      <c r="H402" s="3"/>
    </row>
    <row r="403" customFormat="false" ht="15" hidden="false" customHeight="false" outlineLevel="0" collapsed="false">
      <c r="A403" s="9" t="s">
        <v>455</v>
      </c>
      <c r="B403" s="3" t="s">
        <v>62</v>
      </c>
      <c r="C403" s="29" t="n">
        <f aca="false">0</f>
        <v>0</v>
      </c>
      <c r="D403" s="29" t="n">
        <f aca="false">0</f>
        <v>0</v>
      </c>
      <c r="E403" s="29" t="n">
        <f aca="false">0</f>
        <v>0</v>
      </c>
      <c r="F403" s="61" t="n">
        <f aca="false">Assumptions!$D$60</f>
        <v>120000</v>
      </c>
      <c r="G403" s="61" t="n">
        <f aca="false">Assumptions!$D$61</f>
        <v>250000</v>
      </c>
      <c r="H403" s="3"/>
    </row>
    <row r="404" customFormat="false" ht="15" hidden="false" customHeight="false" outlineLevel="0" collapsed="false">
      <c r="A404" s="3" t="s">
        <v>456</v>
      </c>
      <c r="B404" s="3" t="s">
        <v>62</v>
      </c>
      <c r="C404" s="38" t="n">
        <f aca="false">0</f>
        <v>0</v>
      </c>
      <c r="D404" s="38" t="n">
        <f aca="false">0</f>
        <v>0</v>
      </c>
      <c r="E404" s="60" t="n">
        <f aca="false">E402*E359*E360*(1+Assumptions!$D$84)</f>
        <v>0</v>
      </c>
      <c r="F404" s="60" t="n">
        <f aca="false">F402*F359*F360*(1+Assumptions!$D$84)</f>
        <v>48260.8695652174</v>
      </c>
      <c r="G404" s="60" t="n">
        <f aca="false">G402*G359*G360*(1+Assumptions!$D$84)</f>
        <v>101902.173913043</v>
      </c>
      <c r="H404" s="3"/>
    </row>
    <row r="405" customFormat="false" ht="15" hidden="false" customHeight="false" outlineLevel="0" collapsed="false">
      <c r="A405" s="3" t="s">
        <v>525</v>
      </c>
      <c r="B405" s="3" t="s">
        <v>62</v>
      </c>
      <c r="C405" s="38" t="n">
        <f aca="false">0</f>
        <v>0</v>
      </c>
      <c r="D405" s="38" t="n">
        <f aca="false">0</f>
        <v>0</v>
      </c>
      <c r="E405" s="60" t="n">
        <f aca="false">E403*Assumptions!$D$81</f>
        <v>0</v>
      </c>
      <c r="F405" s="60" t="n">
        <f aca="false">F403*Assumptions!$D$81</f>
        <v>18000</v>
      </c>
      <c r="G405" s="60" t="n">
        <f aca="false">G403*Assumptions!$D$81</f>
        <v>37500</v>
      </c>
      <c r="H405" s="3"/>
    </row>
    <row r="406" customFormat="false" ht="15" hidden="false" customHeight="false" outlineLevel="0" collapsed="false">
      <c r="A406" s="3" t="s">
        <v>526</v>
      </c>
      <c r="B406" s="3" t="s">
        <v>62</v>
      </c>
      <c r="C406" s="38" t="n">
        <f aca="false">0</f>
        <v>0</v>
      </c>
      <c r="D406" s="38" t="n">
        <f aca="false">0</f>
        <v>0</v>
      </c>
      <c r="E406" s="60" t="n">
        <f aca="false">E402*Assumptions!$D$80</f>
        <v>0</v>
      </c>
      <c r="F406" s="60" t="n">
        <f aca="false">F402*Assumptions!$D$80</f>
        <v>21265.607516399</v>
      </c>
      <c r="G406" s="60" t="n">
        <f aca="false">G402*Assumptions!$D$80</f>
        <v>46149.3218671853</v>
      </c>
      <c r="H406" s="3"/>
    </row>
    <row r="407" customFormat="false" ht="15" hidden="false" customHeight="false" outlineLevel="0" collapsed="false">
      <c r="A407" s="3" t="s">
        <v>527</v>
      </c>
      <c r="B407" s="3" t="s">
        <v>62</v>
      </c>
      <c r="C407" s="38" t="n">
        <f aca="false">0</f>
        <v>0</v>
      </c>
      <c r="D407" s="38" t="n">
        <f aca="false">0</f>
        <v>0</v>
      </c>
      <c r="E407" s="60" t="n">
        <f aca="false">E403*Assumptions!$D$82</f>
        <v>0</v>
      </c>
      <c r="F407" s="60" t="n">
        <f aca="false">F403*Assumptions!$D$82</f>
        <v>14400</v>
      </c>
      <c r="G407" s="60" t="n">
        <f aca="false">G403*Assumptions!$D$82</f>
        <v>30000</v>
      </c>
      <c r="H407" s="3"/>
    </row>
    <row r="408" customFormat="false" ht="15" hidden="false" customHeight="false" outlineLevel="0" collapsed="false">
      <c r="A408" s="3" t="s">
        <v>321</v>
      </c>
      <c r="B408" s="3" t="s">
        <v>62</v>
      </c>
      <c r="C408" s="38" t="n">
        <f aca="false">0</f>
        <v>0</v>
      </c>
      <c r="D408" s="38" t="n">
        <f aca="false">0</f>
        <v>0</v>
      </c>
      <c r="E408" s="60" t="n">
        <f aca="false">E403*Assumptions!$D$83</f>
        <v>0</v>
      </c>
      <c r="F408" s="60" t="n">
        <f aca="false">F403*Assumptions!$D$83</f>
        <v>3600</v>
      </c>
      <c r="G408" s="60" t="n">
        <f aca="false">G403*Assumptions!$D$83</f>
        <v>7500</v>
      </c>
      <c r="H408" s="3"/>
    </row>
    <row r="409" customFormat="false" ht="15" hidden="false" customHeight="false" outlineLevel="0" collapsed="false">
      <c r="A409" s="9" t="s">
        <v>528</v>
      </c>
      <c r="B409" s="3" t="s">
        <v>62</v>
      </c>
      <c r="C409" s="29" t="n">
        <f aca="false">C403-C404-C405-C406-C407-C408</f>
        <v>0</v>
      </c>
      <c r="D409" s="29" t="n">
        <f aca="false">D403-D404-D405-D406-D407-D408</f>
        <v>0</v>
      </c>
      <c r="E409" s="29" t="n">
        <f aca="false">E403-E404-E405-E406-E407-E408</f>
        <v>0</v>
      </c>
      <c r="F409" s="29" t="n">
        <f aca="false">F403-F404-F405-F406-F407-F408</f>
        <v>14473.5229183836</v>
      </c>
      <c r="G409" s="29" t="n">
        <f aca="false">G403-G404-G405-G406-G407-G408</f>
        <v>26948.5042197712</v>
      </c>
      <c r="H409" s="3"/>
    </row>
    <row r="410" customFormat="false" ht="15" hidden="false" customHeight="false" outlineLevel="0" collapsed="false">
      <c r="A410" s="9" t="s">
        <v>533</v>
      </c>
    </row>
    <row r="411" customFormat="false" ht="15" hidden="false" customHeight="false" outlineLevel="0" collapsed="false">
      <c r="A411" s="3" t="s">
        <v>524</v>
      </c>
      <c r="B411" s="3" t="s">
        <v>95</v>
      </c>
      <c r="C411" s="31" t="n">
        <f aca="false">0</f>
        <v>0</v>
      </c>
      <c r="D411" s="31" t="n">
        <f aca="false">0</f>
        <v>0</v>
      </c>
      <c r="E411" s="62" t="n">
        <f aca="false">IF(Assumptions!$D$85=0,0,E412/Assumptions!$D$85)</f>
        <v>0</v>
      </c>
      <c r="F411" s="62" t="n">
        <f aca="false">IF(Assumptions!$D$85=0,0,F412/Assumptions!$D$85)</f>
        <v>1250</v>
      </c>
      <c r="G411" s="62" t="n">
        <f aca="false">IF(Assumptions!$D$85=0,0,G412/Assumptions!$D$85)</f>
        <v>2916.66666666667</v>
      </c>
      <c r="H411" s="3"/>
    </row>
    <row r="412" customFormat="false" ht="15" hidden="false" customHeight="false" outlineLevel="0" collapsed="false">
      <c r="A412" s="9" t="s">
        <v>455</v>
      </c>
      <c r="B412" s="3" t="s">
        <v>62</v>
      </c>
      <c r="C412" s="29" t="n">
        <f aca="false">0</f>
        <v>0</v>
      </c>
      <c r="D412" s="29" t="n">
        <f aca="false">0</f>
        <v>0</v>
      </c>
      <c r="E412" s="29" t="n">
        <f aca="false">0</f>
        <v>0</v>
      </c>
      <c r="F412" s="61" t="n">
        <f aca="false">Assumptions!$D$62</f>
        <v>150000</v>
      </c>
      <c r="G412" s="61" t="n">
        <f aca="false">Assumptions!$D$63</f>
        <v>350000</v>
      </c>
      <c r="H412" s="3"/>
    </row>
    <row r="413" customFormat="false" ht="15" hidden="false" customHeight="false" outlineLevel="0" collapsed="false">
      <c r="A413" s="3" t="s">
        <v>456</v>
      </c>
      <c r="B413" s="3" t="s">
        <v>62</v>
      </c>
      <c r="C413" s="38" t="n">
        <f aca="false">0</f>
        <v>0</v>
      </c>
      <c r="D413" s="38" t="n">
        <f aca="false">0</f>
        <v>0</v>
      </c>
      <c r="E413" s="60" t="n">
        <f aca="false">E412*Assumptions!$D$86</f>
        <v>0</v>
      </c>
      <c r="F413" s="60" t="n">
        <f aca="false">F412*Assumptions!$D$86</f>
        <v>60000</v>
      </c>
      <c r="G413" s="60" t="n">
        <f aca="false">G412*Assumptions!$D$86</f>
        <v>140000</v>
      </c>
      <c r="H413" s="3"/>
    </row>
    <row r="414" customFormat="false" ht="15" hidden="false" customHeight="false" outlineLevel="0" collapsed="false">
      <c r="A414" s="3" t="s">
        <v>525</v>
      </c>
      <c r="B414" s="3" t="s">
        <v>62</v>
      </c>
      <c r="C414" s="38" t="n">
        <f aca="false">0</f>
        <v>0</v>
      </c>
      <c r="D414" s="38" t="n">
        <f aca="false">0</f>
        <v>0</v>
      </c>
      <c r="E414" s="60" t="n">
        <f aca="false">E412*(Assumptions!$D$87*Assumptions!$D$72+(1-Assumptions!$D$87)*Assumptions!$D$19)</f>
        <v>0</v>
      </c>
      <c r="F414" s="60" t="n">
        <f aca="false">F412*(Assumptions!$D$87*Assumptions!$D$72+(1-Assumptions!$D$87)*Assumptions!$D$19)</f>
        <v>13500</v>
      </c>
      <c r="G414" s="60" t="n">
        <f aca="false">G412*(Assumptions!$D$87*Assumptions!$D$72+(1-Assumptions!$D$87)*Assumptions!$D$19)</f>
        <v>31500</v>
      </c>
      <c r="H414" s="3"/>
    </row>
    <row r="415" customFormat="false" ht="15" hidden="false" customHeight="false" outlineLevel="0" collapsed="false">
      <c r="A415" s="3" t="s">
        <v>526</v>
      </c>
      <c r="B415" s="3" t="s">
        <v>62</v>
      </c>
      <c r="C415" s="38" t="n">
        <f aca="false">0</f>
        <v>0</v>
      </c>
      <c r="D415" s="38" t="n">
        <f aca="false">0</f>
        <v>0</v>
      </c>
      <c r="E415" s="60" t="n">
        <f aca="false">E411*(Assumptions!$D$87*Assumptions!$D$71+(1-Assumptions!$D$87)*Assumptions!$D$88)</f>
        <v>0</v>
      </c>
      <c r="F415" s="60" t="n">
        <f aca="false">F411*(Assumptions!$D$87*Assumptions!$D$71+(1-Assumptions!$D$87)*Assumptions!$D$88)</f>
        <v>7200</v>
      </c>
      <c r="G415" s="60" t="n">
        <f aca="false">G411*(Assumptions!$D$87*Assumptions!$D$71+(1-Assumptions!$D$87)*Assumptions!$D$88)</f>
        <v>16800</v>
      </c>
      <c r="H415" s="3"/>
    </row>
    <row r="416" customFormat="false" ht="15" hidden="false" customHeight="false" outlineLevel="0" collapsed="false">
      <c r="A416" s="3" t="s">
        <v>527</v>
      </c>
      <c r="B416" s="3" t="s">
        <v>62</v>
      </c>
      <c r="C416" s="38" t="n">
        <f aca="false">0</f>
        <v>0</v>
      </c>
      <c r="D416" s="38" t="n">
        <f aca="false">0</f>
        <v>0</v>
      </c>
      <c r="E416" s="60" t="n">
        <f aca="false">E412*(Assumptions!$D$87*Assumptions!$D$73+(1-Assumptions!$D$87)*Assumptions!$D$89)</f>
        <v>0</v>
      </c>
      <c r="F416" s="60" t="n">
        <f aca="false">F412*(Assumptions!$D$87*Assumptions!$D$73+(1-Assumptions!$D$87)*Assumptions!$D$89)</f>
        <v>9900</v>
      </c>
      <c r="G416" s="60" t="n">
        <f aca="false">G412*(Assumptions!$D$87*Assumptions!$D$73+(1-Assumptions!$D$87)*Assumptions!$D$89)</f>
        <v>23100</v>
      </c>
      <c r="H416" s="3"/>
    </row>
    <row r="417" customFormat="false" ht="15" hidden="false" customHeight="false" outlineLevel="0" collapsed="false">
      <c r="A417" s="3" t="s">
        <v>321</v>
      </c>
      <c r="B417" s="3" t="s">
        <v>62</v>
      </c>
      <c r="C417" s="38" t="n">
        <f aca="false">0</f>
        <v>0</v>
      </c>
      <c r="D417" s="38" t="n">
        <f aca="false">0</f>
        <v>0</v>
      </c>
      <c r="E417" s="60" t="n">
        <f aca="false">E412*(Assumptions!$D$87*Assumptions!$D$74+(1-Assumptions!$D$87)*(Assumptions!$D$90+Assumptions!$D$91))</f>
        <v>0</v>
      </c>
      <c r="F417" s="60" t="n">
        <f aca="false">F412*(Assumptions!$D$87*Assumptions!$D$74+(1-Assumptions!$D$87)*(Assumptions!$D$90+Assumptions!$D$91))</f>
        <v>4800</v>
      </c>
      <c r="G417" s="60" t="n">
        <f aca="false">G412*(Assumptions!$D$87*Assumptions!$D$74+(1-Assumptions!$D$87)*(Assumptions!$D$90+Assumptions!$D$91))</f>
        <v>11200</v>
      </c>
      <c r="H417" s="3"/>
    </row>
    <row r="418" customFormat="false" ht="15" hidden="false" customHeight="false" outlineLevel="0" collapsed="false">
      <c r="A418" s="9" t="s">
        <v>528</v>
      </c>
      <c r="B418" s="3" t="s">
        <v>62</v>
      </c>
      <c r="C418" s="29" t="n">
        <f aca="false">C412-C413-C414-C415-C416-C417</f>
        <v>0</v>
      </c>
      <c r="D418" s="29" t="n">
        <f aca="false">D412-D413-D414-D415-D416-D417</f>
        <v>0</v>
      </c>
      <c r="E418" s="29" t="n">
        <f aca="false">E412-E413-E414-E415-E416-E417</f>
        <v>0</v>
      </c>
      <c r="F418" s="29" t="n">
        <f aca="false">F412-F413-F414-F415-F416-F417</f>
        <v>54600</v>
      </c>
      <c r="G418" s="29" t="n">
        <f aca="false">G412-G413-G414-G415-G416-G417</f>
        <v>127400</v>
      </c>
      <c r="H418" s="3"/>
    </row>
    <row r="420" customFormat="false" ht="15" hidden="false" customHeight="false" outlineLevel="0" collapsed="false">
      <c r="A420" s="9" t="s">
        <v>534</v>
      </c>
    </row>
    <row r="421" customFormat="false" ht="15" hidden="false" customHeight="false" outlineLevel="0" collapsed="false">
      <c r="A421" s="9" t="s">
        <v>495</v>
      </c>
      <c r="B421" s="3" t="s">
        <v>62</v>
      </c>
      <c r="C421" s="29" t="n">
        <f aca="false">C367+C376+C385+C394+C403+C412</f>
        <v>494340</v>
      </c>
      <c r="D421" s="29" t="n">
        <f aca="false">D367+D376+D385+D394+D403+D412</f>
        <v>1771104</v>
      </c>
      <c r="E421" s="29" t="n">
        <f aca="false">E367+E376+E385+E394+E403+E412</f>
        <v>2611698.7392</v>
      </c>
      <c r="F421" s="29" t="n">
        <f aca="false">F367+F376+F385+F394+F403+F412</f>
        <v>3655554.71024128</v>
      </c>
      <c r="G421" s="29" t="n">
        <f aca="false">G367+G376+G385+G394+G403+G412</f>
        <v>4576228.42445143</v>
      </c>
      <c r="H421" s="3"/>
    </row>
    <row r="422" customFormat="false" ht="15" hidden="false" customHeight="false" outlineLevel="0" collapsed="false">
      <c r="A422" s="3" t="s">
        <v>456</v>
      </c>
      <c r="B422" s="3" t="s">
        <v>62</v>
      </c>
      <c r="C422" s="38" t="n">
        <f aca="false">C368+C377+C386+C395+C404+C413</f>
        <v>187849.2</v>
      </c>
      <c r="D422" s="38" t="n">
        <f aca="false">D368+D377+D386+D395+D404+D413</f>
        <v>688039.36</v>
      </c>
      <c r="E422" s="38" t="n">
        <f aca="false">E368+E377+E386+E395+E404+E413</f>
        <v>1038436.70647467</v>
      </c>
      <c r="F422" s="38" t="n">
        <f aca="false">F368+F377+F386+F395+F404+F413</f>
        <v>1508916.11235449</v>
      </c>
      <c r="G422" s="38" t="n">
        <f aca="false">G368+G377+G386+G395+G404+G413</f>
        <v>1945487.83308233</v>
      </c>
      <c r="H422" s="3"/>
    </row>
    <row r="423" customFormat="false" ht="15" hidden="false" customHeight="false" outlineLevel="0" collapsed="false">
      <c r="A423" s="3" t="s">
        <v>535</v>
      </c>
      <c r="B423" s="3" t="s">
        <v>62</v>
      </c>
      <c r="C423" s="38" t="n">
        <f aca="false">C369+C378+C387+C396+C405+C414</f>
        <v>74151</v>
      </c>
      <c r="D423" s="38" t="n">
        <f aca="false">D369+D378+D387+D396+D405+D414</f>
        <v>251219.52</v>
      </c>
      <c r="E423" s="38" t="n">
        <f aca="false">E369+E378+E387+E396+E405+E414</f>
        <v>340824.449536</v>
      </c>
      <c r="F423" s="38" t="n">
        <f aca="false">F369+F378+F387+F396+F405+F414</f>
        <v>443899.875014246</v>
      </c>
      <c r="G423" s="38" t="n">
        <f aca="false">G369+G378+G387+G396+G405+G414</f>
        <v>526592.345615318</v>
      </c>
      <c r="H423" s="3"/>
    </row>
    <row r="424" customFormat="false" ht="15" hidden="false" customHeight="false" outlineLevel="0" collapsed="false">
      <c r="A424" s="3" t="s">
        <v>536</v>
      </c>
      <c r="B424" s="3" t="s">
        <v>62</v>
      </c>
      <c r="C424" s="38" t="n">
        <f aca="false">C370+C379+C388+C397+C406+C415</f>
        <v>64735</v>
      </c>
      <c r="D424" s="38" t="n">
        <f aca="false">D370+D379+D388+D397+D406+D415</f>
        <v>241541.619047619</v>
      </c>
      <c r="E424" s="38" t="n">
        <f aca="false">E370+E379+E388+E397+E406+E415</f>
        <v>389539.791671958</v>
      </c>
      <c r="F424" s="38" t="n">
        <f aca="false">F370+F379+F388+F397+F406+F415</f>
        <v>583335.834490191</v>
      </c>
      <c r="G424" s="38" t="n">
        <f aca="false">G370+G379+G388+G397+G406+G415</f>
        <v>769264.922428639</v>
      </c>
      <c r="H424" s="3"/>
    </row>
    <row r="425" customFormat="false" ht="15" hidden="false" customHeight="false" outlineLevel="0" collapsed="false">
      <c r="A425" s="3" t="s">
        <v>527</v>
      </c>
      <c r="B425" s="3" t="s">
        <v>62</v>
      </c>
      <c r="C425" s="38" t="n">
        <f aca="false">C371+C380+C389+C398+C407+C416</f>
        <v>84667.8</v>
      </c>
      <c r="D425" s="38" t="n">
        <f aca="false">D371+D380+D389+D398+D407+D416</f>
        <v>177883.2</v>
      </c>
      <c r="E425" s="38" t="n">
        <f aca="false">E371+E380+E389+E398+E407+E416</f>
        <v>261321.68064</v>
      </c>
      <c r="F425" s="38" t="n">
        <f aca="false">F371+F380+F389+F398+F407+F416</f>
        <v>353730.464231424</v>
      </c>
      <c r="G425" s="38" t="n">
        <f aca="false">G371+G380+G389+G398+G407+G416</f>
        <v>433130.035141627</v>
      </c>
      <c r="H425" s="3"/>
    </row>
    <row r="426" customFormat="false" ht="15" hidden="false" customHeight="false" outlineLevel="0" collapsed="false">
      <c r="A426" s="3" t="s">
        <v>321</v>
      </c>
      <c r="B426" s="3" t="s">
        <v>62</v>
      </c>
      <c r="C426" s="38" t="n">
        <f aca="false">C372+C381+C390+C399+C408+C417</f>
        <v>24717</v>
      </c>
      <c r="D426" s="38" t="n">
        <f aca="false">D372+D381+D390+D399+D408+D417</f>
        <v>78225.12</v>
      </c>
      <c r="E426" s="38" t="n">
        <f aca="false">E372+E381+E390+E399+E408+E417</f>
        <v>104328.672256</v>
      </c>
      <c r="F426" s="38" t="n">
        <f aca="false">F372+F381+F390+F399+F408+F417</f>
        <v>137924.963319398</v>
      </c>
      <c r="G426" s="38" t="n">
        <f aca="false">G372+G381+G390+G399+G408+G417</f>
        <v>165998.840561017</v>
      </c>
      <c r="H426" s="3"/>
    </row>
    <row r="427" customFormat="false" ht="15" hidden="false" customHeight="false" outlineLevel="0" collapsed="false">
      <c r="A427" s="9" t="s">
        <v>537</v>
      </c>
      <c r="B427" s="3" t="s">
        <v>62</v>
      </c>
      <c r="C427" s="29" t="n">
        <f aca="false">C373+C382+C391+C400+C409+C418</f>
        <v>58220</v>
      </c>
      <c r="D427" s="29" t="n">
        <f aca="false">D373+D382+D391+D400+D409+D418</f>
        <v>334195.180952381</v>
      </c>
      <c r="E427" s="29" t="n">
        <f aca="false">E373+E382+E391+E400+E409+E418</f>
        <v>477247.438621376</v>
      </c>
      <c r="F427" s="29" t="n">
        <f aca="false">F373+F382+F391+F400+F409+F418</f>
        <v>627747.46083153</v>
      </c>
      <c r="G427" s="29" t="n">
        <f aca="false">G373+G382+G391+G400+G409+G418</f>
        <v>735754.447622496</v>
      </c>
      <c r="H427" s="3"/>
    </row>
    <row r="428" customFormat="false" ht="15" hidden="false" customHeight="false" outlineLevel="0" collapsed="false">
      <c r="A428" s="3" t="s">
        <v>538</v>
      </c>
      <c r="B428" s="3" t="s">
        <v>62</v>
      </c>
      <c r="C428" s="38" t="n">
        <f aca="false">AB301</f>
        <v>10200</v>
      </c>
      <c r="D428" s="38" t="n">
        <f aca="false">AC301</f>
        <v>14100</v>
      </c>
      <c r="E428" s="60" t="n">
        <f aca="false">Assumptions!$D$46*12</f>
        <v>48000</v>
      </c>
      <c r="F428" s="60" t="n">
        <f aca="false">Assumptions!$D$47*12</f>
        <v>84000</v>
      </c>
      <c r="G428" s="60" t="n">
        <f aca="false">Assumptions!$D$48*12</f>
        <v>120000</v>
      </c>
      <c r="H428" s="3" t="s">
        <v>539</v>
      </c>
    </row>
    <row r="429" customFormat="false" ht="15" hidden="false" customHeight="false" outlineLevel="0" collapsed="false">
      <c r="A429" s="3" t="s">
        <v>462</v>
      </c>
      <c r="B429" s="3" t="s">
        <v>62</v>
      </c>
      <c r="C429" s="38" t="n">
        <f aca="false">AB302</f>
        <v>479.88</v>
      </c>
      <c r="D429" s="38" t="n">
        <f aca="false">AC302</f>
        <v>479.88</v>
      </c>
      <c r="E429" s="60" t="n">
        <f aca="false">Assumptions!$D$22*12</f>
        <v>479.88</v>
      </c>
      <c r="F429" s="60" t="n">
        <f aca="false">Assumptions!$D$22*12</f>
        <v>479.88</v>
      </c>
      <c r="G429" s="60" t="n">
        <f aca="false">Assumptions!$D$22*12</f>
        <v>479.88</v>
      </c>
      <c r="H429" s="3"/>
    </row>
    <row r="430" customFormat="false" ht="15" hidden="false" customHeight="false" outlineLevel="0" collapsed="false">
      <c r="A430" s="3" t="s">
        <v>463</v>
      </c>
      <c r="B430" s="3" t="s">
        <v>62</v>
      </c>
      <c r="C430" s="38" t="n">
        <f aca="false">AB303</f>
        <v>9500</v>
      </c>
      <c r="D430" s="38" t="n">
        <f aca="false">AC303</f>
        <v>0</v>
      </c>
      <c r="E430" s="38" t="n">
        <f aca="false">0</f>
        <v>0</v>
      </c>
      <c r="F430" s="38" t="n">
        <f aca="false">0</f>
        <v>0</v>
      </c>
      <c r="G430" s="38" t="n">
        <f aca="false">0</f>
        <v>0</v>
      </c>
      <c r="H430" s="3"/>
    </row>
    <row r="431" customFormat="false" ht="15" hidden="false" customHeight="false" outlineLevel="0" collapsed="false">
      <c r="A431" s="3" t="s">
        <v>540</v>
      </c>
      <c r="B431" s="3" t="s">
        <v>62</v>
      </c>
      <c r="C431" s="38" t="n">
        <f aca="false">AB304</f>
        <v>0</v>
      </c>
      <c r="D431" s="38" t="n">
        <f aca="false">AC304</f>
        <v>2560</v>
      </c>
      <c r="E431" s="60" t="n">
        <f aca="false">Assumptions!$D$94+Assumptions!$D$95+Assumptions!$D$96+Assumptions!$D$97+IF(3=5,Assumptions!$D$98,0)</f>
        <v>2560</v>
      </c>
      <c r="F431" s="60" t="n">
        <f aca="false">Assumptions!$D$94+Assumptions!$D$95+Assumptions!$D$96+Assumptions!$D$97+IF(4=5,Assumptions!$D$98,0)</f>
        <v>2560</v>
      </c>
      <c r="G431" s="60" t="n">
        <f aca="false">Assumptions!$D$94+Assumptions!$D$95+Assumptions!$D$96+Assumptions!$D$97+IF(5=5,Assumptions!$D$98,0)</f>
        <v>2560</v>
      </c>
      <c r="H431" s="3" t="s">
        <v>541</v>
      </c>
    </row>
    <row r="432" customFormat="false" ht="15" hidden="false" customHeight="false" outlineLevel="0" collapsed="false">
      <c r="A432" s="9" t="s">
        <v>542</v>
      </c>
      <c r="B432" s="3" t="s">
        <v>62</v>
      </c>
      <c r="C432" s="29" t="n">
        <f aca="false">C427-C428-C429-C430-C431</f>
        <v>38040.12</v>
      </c>
      <c r="D432" s="29" t="n">
        <f aca="false">D427-D428-D429-D430-D431</f>
        <v>317055.300952381</v>
      </c>
      <c r="E432" s="29" t="n">
        <f aca="false">E427-E428-E429-E430-E431</f>
        <v>426207.558621376</v>
      </c>
      <c r="F432" s="29" t="n">
        <f aca="false">F427-F428-F429-F430-F431</f>
        <v>540707.58083153</v>
      </c>
      <c r="G432" s="29" t="n">
        <f aca="false">G427-G428-G429-G430-G431</f>
        <v>612714.567622496</v>
      </c>
      <c r="H432" s="3"/>
    </row>
    <row r="433" customFormat="false" ht="15" hidden="false" customHeight="false" outlineLevel="0" collapsed="false">
      <c r="A433" s="9" t="s">
        <v>467</v>
      </c>
      <c r="B433" s="3" t="s">
        <v>66</v>
      </c>
      <c r="C433" s="19" t="n">
        <f aca="false">IF(C421=0,0,C432/C421)</f>
        <v>0.076951329044787</v>
      </c>
      <c r="D433" s="19" t="n">
        <f aca="false">IF(D421=0,0,D432/D421)</f>
        <v>0.179015631466239</v>
      </c>
      <c r="E433" s="19" t="n">
        <f aca="false">IF(E421=0,0,E432/E421)</f>
        <v>0.16319170056801</v>
      </c>
      <c r="F433" s="19" t="n">
        <f aca="false">IF(F421=0,0,F432/F421)</f>
        <v>0.147913962090815</v>
      </c>
      <c r="G433" s="19" t="n">
        <f aca="false">IF(G421=0,0,G432/G421)</f>
        <v>0.133890730704935</v>
      </c>
      <c r="H433" s="3"/>
    </row>
    <row r="434" customFormat="false" ht="15" hidden="false" customHeight="false" outlineLevel="0" collapsed="false">
      <c r="A434" s="3" t="s">
        <v>543</v>
      </c>
      <c r="B434" s="3" t="s">
        <v>62</v>
      </c>
      <c r="C434" s="38" t="n">
        <f aca="false">C432</f>
        <v>38040.12</v>
      </c>
      <c r="D434" s="38" t="n">
        <f aca="false">C434+D432</f>
        <v>355095.420952381</v>
      </c>
      <c r="E434" s="38" t="n">
        <f aca="false">D434+E432</f>
        <v>781302.979573757</v>
      </c>
      <c r="F434" s="38" t="n">
        <f aca="false">E434+F432</f>
        <v>1322010.56040529</v>
      </c>
      <c r="G434" s="38" t="n">
        <f aca="false">F434+G432</f>
        <v>1934725.12802778</v>
      </c>
      <c r="H434" s="3"/>
    </row>
    <row r="435" customFormat="false" ht="15" hidden="false" customHeight="false" outlineLevel="0" collapsed="false">
      <c r="A435" s="3" t="s">
        <v>544</v>
      </c>
      <c r="B435" s="3" t="s">
        <v>66</v>
      </c>
      <c r="C435" s="34" t="n">
        <f aca="false">IF(C367=0,0,C373/C367)</f>
        <v>0.117773192539548</v>
      </c>
      <c r="D435" s="34" t="n">
        <f aca="false">IF(D367=0,0,D373/D367)</f>
        <v>0.188054683411826</v>
      </c>
      <c r="E435" s="34" t="n">
        <f aca="false">IF(E367=0,0,E373/E367)</f>
        <v>0.184499007936508</v>
      </c>
      <c r="F435" s="34" t="n">
        <f aca="false">IF(F367=0,0,F373/F367)</f>
        <v>0.169254143931878</v>
      </c>
      <c r="G435" s="34" t="n">
        <f aca="false">IF(G367=0,0,G373/G367)</f>
        <v>0.153262258593578</v>
      </c>
      <c r="H435" s="3"/>
    </row>
    <row r="437" customFormat="false" ht="15" hidden="false" customHeight="false" outlineLevel="0" collapsed="false">
      <c r="A437" s="9" t="s">
        <v>545</v>
      </c>
    </row>
    <row r="438" customFormat="false" ht="15" hidden="false" customHeight="false" outlineLevel="0" collapsed="false">
      <c r="A438" s="3" t="s">
        <v>546</v>
      </c>
      <c r="C438" s="38" t="n">
        <f aca="false">C421-AB338</f>
        <v>0</v>
      </c>
      <c r="D438" s="38" t="n">
        <f aca="false">D421-AC338</f>
        <v>0</v>
      </c>
    </row>
    <row r="439" customFormat="false" ht="15" hidden="false" customHeight="false" outlineLevel="0" collapsed="false">
      <c r="A439" s="3" t="s">
        <v>547</v>
      </c>
      <c r="C439" s="38" t="n">
        <f aca="false">C432-AB339</f>
        <v>0</v>
      </c>
      <c r="D439" s="38" t="n">
        <f aca="false">D432-AC339</f>
        <v>0</v>
      </c>
    </row>
    <row r="441" customFormat="false" ht="15" hidden="false" customHeight="false" outlineLevel="0" collapsed="false">
      <c r="A441" s="5" t="s">
        <v>859</v>
      </c>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row>
    <row r="442" customFormat="false" ht="39.75" hidden="false" customHeight="true" outlineLevel="0" collapsed="false">
      <c r="A442" s="14" t="s">
        <v>444</v>
      </c>
      <c r="B442" s="14" t="s">
        <v>53</v>
      </c>
      <c r="C442" s="14" t="s">
        <v>445</v>
      </c>
      <c r="D442" s="14" t="s">
        <v>232</v>
      </c>
      <c r="E442" s="14" t="s">
        <v>234</v>
      </c>
      <c r="F442" s="14" t="s">
        <v>235</v>
      </c>
      <c r="G442" s="14" t="s">
        <v>236</v>
      </c>
      <c r="H442" s="14" t="s">
        <v>237</v>
      </c>
      <c r="I442" s="14" t="s">
        <v>238</v>
      </c>
      <c r="J442" s="14" t="s">
        <v>239</v>
      </c>
      <c r="K442" s="14" t="s">
        <v>240</v>
      </c>
      <c r="L442" s="14" t="s">
        <v>241</v>
      </c>
      <c r="M442" s="14" t="s">
        <v>242</v>
      </c>
      <c r="N442" s="14" t="s">
        <v>243</v>
      </c>
      <c r="O442" s="14" t="s">
        <v>244</v>
      </c>
      <c r="P442" s="14" t="s">
        <v>245</v>
      </c>
      <c r="Q442" s="14" t="s">
        <v>246</v>
      </c>
      <c r="R442" s="14" t="s">
        <v>247</v>
      </c>
      <c r="S442" s="14" t="s">
        <v>248</v>
      </c>
      <c r="T442" s="14" t="s">
        <v>249</v>
      </c>
      <c r="U442" s="14" t="s">
        <v>250</v>
      </c>
      <c r="V442" s="14" t="s">
        <v>251</v>
      </c>
      <c r="W442" s="14" t="s">
        <v>253</v>
      </c>
      <c r="X442" s="14" t="s">
        <v>254</v>
      </c>
      <c r="Y442" s="14" t="s">
        <v>255</v>
      </c>
      <c r="Z442" s="14" t="s">
        <v>256</v>
      </c>
      <c r="AA442" s="14" t="s">
        <v>257</v>
      </c>
      <c r="AB442" s="39" t="s">
        <v>549</v>
      </c>
      <c r="AC442" s="39" t="s">
        <v>550</v>
      </c>
      <c r="AD442" s="39" t="s">
        <v>551</v>
      </c>
      <c r="AE442" s="39" t="s">
        <v>552</v>
      </c>
      <c r="AF442" s="39" t="s">
        <v>553</v>
      </c>
      <c r="AG442" s="39" t="s">
        <v>554</v>
      </c>
    </row>
    <row r="443" customFormat="false" ht="15" hidden="false" customHeight="false" outlineLevel="0" collapsed="false">
      <c r="A443" s="3" t="s">
        <v>448</v>
      </c>
      <c r="C443" s="30" t="n">
        <v>0</v>
      </c>
      <c r="D443" s="30" t="n">
        <v>1</v>
      </c>
      <c r="E443" s="30" t="n">
        <v>2</v>
      </c>
      <c r="F443" s="30" t="n">
        <v>3</v>
      </c>
      <c r="G443" s="30" t="n">
        <v>4</v>
      </c>
      <c r="H443" s="30" t="n">
        <v>5</v>
      </c>
      <c r="I443" s="30" t="n">
        <v>6</v>
      </c>
      <c r="J443" s="30" t="n">
        <v>7</v>
      </c>
      <c r="K443" s="30" t="n">
        <v>8</v>
      </c>
      <c r="L443" s="30" t="n">
        <v>9</v>
      </c>
      <c r="M443" s="30" t="n">
        <v>10</v>
      </c>
      <c r="N443" s="30" t="n">
        <v>11</v>
      </c>
      <c r="O443" s="30" t="n">
        <v>12</v>
      </c>
      <c r="P443" s="30" t="n">
        <v>13</v>
      </c>
      <c r="Q443" s="30" t="n">
        <v>14</v>
      </c>
      <c r="R443" s="30" t="n">
        <v>15</v>
      </c>
      <c r="S443" s="30" t="n">
        <v>16</v>
      </c>
      <c r="T443" s="30" t="n">
        <v>17</v>
      </c>
      <c r="U443" s="30" t="n">
        <v>18</v>
      </c>
      <c r="V443" s="30" t="n">
        <v>19</v>
      </c>
      <c r="W443" s="30" t="n">
        <v>20</v>
      </c>
      <c r="X443" s="30" t="n">
        <v>21</v>
      </c>
      <c r="Y443" s="30" t="n">
        <v>22</v>
      </c>
      <c r="Z443" s="30" t="n">
        <v>23</v>
      </c>
      <c r="AA443" s="30" t="n">
        <v>24</v>
      </c>
      <c r="AB443" s="30" t="n">
        <v>25</v>
      </c>
      <c r="AC443" s="30" t="n">
        <v>26</v>
      </c>
      <c r="AD443" s="30" t="n">
        <v>27</v>
      </c>
      <c r="AE443" s="30" t="n">
        <v>28</v>
      </c>
      <c r="AF443" s="30" t="n">
        <v>29</v>
      </c>
      <c r="AG443" s="30" t="n">
        <v>30</v>
      </c>
    </row>
    <row r="444" customFormat="false" ht="15" hidden="false" customHeight="false" outlineLevel="0" collapsed="false">
      <c r="A444" s="9" t="s">
        <v>555</v>
      </c>
    </row>
    <row r="445" customFormat="false" ht="15" hidden="false" customHeight="false" outlineLevel="0" collapsed="false">
      <c r="A445" s="3" t="s">
        <v>556</v>
      </c>
      <c r="B445" s="3" t="s">
        <v>95</v>
      </c>
      <c r="C445" s="31" t="n">
        <f aca="false">0</f>
        <v>0</v>
      </c>
      <c r="D445" s="31" t="n">
        <f aca="false">D291+D321+D329</f>
        <v>150</v>
      </c>
      <c r="E445" s="31" t="n">
        <f aca="false">E291+E321+E329</f>
        <v>240</v>
      </c>
      <c r="F445" s="31" t="n">
        <f aca="false">F291+F321+F329</f>
        <v>360</v>
      </c>
      <c r="G445" s="31" t="n">
        <f aca="false">G291+G321+G329</f>
        <v>500</v>
      </c>
      <c r="H445" s="31" t="n">
        <f aca="false">H291+H321+H329</f>
        <v>650</v>
      </c>
      <c r="I445" s="31" t="n">
        <f aca="false">I291+I321+I329</f>
        <v>820</v>
      </c>
      <c r="J445" s="31" t="n">
        <f aca="false">J291+J321+J329</f>
        <v>1000</v>
      </c>
      <c r="K445" s="31" t="n">
        <f aca="false">K291+K321+K329</f>
        <v>1200</v>
      </c>
      <c r="L445" s="31" t="n">
        <f aca="false">L291+L321+L329</f>
        <v>1400</v>
      </c>
      <c r="M445" s="31" t="n">
        <f aca="false">M291+M321+M329</f>
        <v>1600</v>
      </c>
      <c r="N445" s="31" t="n">
        <f aca="false">N291+N321+N329</f>
        <v>1800</v>
      </c>
      <c r="O445" s="31" t="n">
        <f aca="false">O291+O321+O329</f>
        <v>2050</v>
      </c>
      <c r="P445" s="31" t="n">
        <f aca="false">P291+P321+P329</f>
        <v>2826.8253968254</v>
      </c>
      <c r="Q445" s="31" t="n">
        <f aca="false">Q291+Q321+Q329</f>
        <v>3042.8253968254</v>
      </c>
      <c r="R445" s="31" t="n">
        <f aca="false">R291+R321+R329</f>
        <v>3204.8253968254</v>
      </c>
      <c r="S445" s="31" t="n">
        <f aca="false">S291+S321+S329</f>
        <v>3366.8253968254</v>
      </c>
      <c r="T445" s="31" t="n">
        <f aca="false">T291+T321+T329</f>
        <v>3528.8253968254</v>
      </c>
      <c r="U445" s="31" t="n">
        <f aca="false">U291+U321+U329</f>
        <v>3690.8253968254</v>
      </c>
      <c r="V445" s="31" t="n">
        <f aca="false">V291+V321+V329</f>
        <v>3798.8253968254</v>
      </c>
      <c r="W445" s="31" t="n">
        <f aca="false">W291+W321+W329</f>
        <v>3906.8253968254</v>
      </c>
      <c r="X445" s="31" t="n">
        <f aca="false">X291+X321+X329</f>
        <v>4014.8253968254</v>
      </c>
      <c r="Y445" s="31" t="n">
        <f aca="false">Y291+Y321+Y329</f>
        <v>4122.8253968254</v>
      </c>
      <c r="Z445" s="31" t="n">
        <f aca="false">Z291+Z321+Z329</f>
        <v>4230.8253968254</v>
      </c>
      <c r="AA445" s="31" t="n">
        <f aca="false">AA291+AA321+AA329</f>
        <v>4338.8253968254</v>
      </c>
      <c r="AB445" s="62" t="n">
        <f aca="false">$AA445*(1+Assumptions!$D$37)</f>
        <v>5640.47301587302</v>
      </c>
      <c r="AC445" s="62" t="n">
        <f aca="false">$AA445*(1+Assumptions!$D$37)</f>
        <v>5640.47301587302</v>
      </c>
      <c r="AD445" s="62" t="n">
        <f aca="false">$AA445*(1+Assumptions!$D$37)</f>
        <v>5640.47301587302</v>
      </c>
      <c r="AE445" s="62" t="n">
        <f aca="false">$AA445*(1+Assumptions!$D$37)</f>
        <v>5640.47301587302</v>
      </c>
      <c r="AF445" s="62" t="n">
        <f aca="false">$AA445*(1+Assumptions!$D$37)</f>
        <v>5640.47301587302</v>
      </c>
      <c r="AG445" s="62" t="n">
        <f aca="false">$AA445*(1+Assumptions!$D$37)</f>
        <v>5640.47301587302</v>
      </c>
    </row>
    <row r="446" customFormat="false" ht="15" hidden="false" customHeight="false" outlineLevel="0" collapsed="false">
      <c r="A446" s="3" t="s">
        <v>557</v>
      </c>
      <c r="B446" s="3" t="s">
        <v>454</v>
      </c>
      <c r="D446" s="40" t="n">
        <f aca="false">D314*D292</f>
        <v>15.96</v>
      </c>
      <c r="E446" s="40" t="n">
        <f aca="false">E314*E292</f>
        <v>15.96</v>
      </c>
      <c r="F446" s="40" t="n">
        <f aca="false">F314*F292</f>
        <v>15.96</v>
      </c>
      <c r="G446" s="40" t="n">
        <f aca="false">G314*G292</f>
        <v>15.96</v>
      </c>
      <c r="H446" s="40" t="n">
        <f aca="false">H314*H292</f>
        <v>15.96</v>
      </c>
      <c r="I446" s="40" t="n">
        <f aca="false">I314*I292</f>
        <v>15.96</v>
      </c>
      <c r="J446" s="40" t="n">
        <f aca="false">J314*J292</f>
        <v>15.96</v>
      </c>
      <c r="K446" s="40" t="n">
        <f aca="false">K314*K292</f>
        <v>15.96</v>
      </c>
      <c r="L446" s="40" t="n">
        <f aca="false">L314*L292</f>
        <v>15.96</v>
      </c>
      <c r="M446" s="40" t="n">
        <f aca="false">M314*M292</f>
        <v>15.96</v>
      </c>
      <c r="N446" s="40" t="n">
        <f aca="false">N314*N292</f>
        <v>15.96</v>
      </c>
      <c r="O446" s="40" t="n">
        <f aca="false">O314*O292</f>
        <v>15.96</v>
      </c>
      <c r="P446" s="40" t="n">
        <f aca="false">P314*P292</f>
        <v>15.96</v>
      </c>
      <c r="Q446" s="40" t="n">
        <f aca="false">Q314*Q292</f>
        <v>15.96</v>
      </c>
      <c r="R446" s="40" t="n">
        <f aca="false">R314*R292</f>
        <v>15.96</v>
      </c>
      <c r="S446" s="40" t="n">
        <f aca="false">S314*S292</f>
        <v>15.96</v>
      </c>
      <c r="T446" s="40" t="n">
        <f aca="false">T314*T292</f>
        <v>15.96</v>
      </c>
      <c r="U446" s="40" t="n">
        <f aca="false">U314*U292</f>
        <v>15.96</v>
      </c>
      <c r="V446" s="40" t="n">
        <f aca="false">V314*V292</f>
        <v>15.33</v>
      </c>
      <c r="W446" s="40" t="n">
        <f aca="false">W314*W292</f>
        <v>15.33</v>
      </c>
      <c r="X446" s="40" t="n">
        <f aca="false">X314*X292</f>
        <v>15.33</v>
      </c>
      <c r="Y446" s="40" t="n">
        <f aca="false">Y314*Y292</f>
        <v>15.33</v>
      </c>
      <c r="Z446" s="40" t="n">
        <f aca="false">Z314*Z292</f>
        <v>15.33</v>
      </c>
      <c r="AA446" s="40" t="n">
        <f aca="false">AA314*AA292</f>
        <v>15.33</v>
      </c>
      <c r="AB446" s="40" t="n">
        <f aca="false">$AA446</f>
        <v>15.33</v>
      </c>
      <c r="AC446" s="40" t="n">
        <f aca="false">$AA446</f>
        <v>15.33</v>
      </c>
      <c r="AD446" s="40" t="n">
        <f aca="false">$AA446</f>
        <v>15.33</v>
      </c>
      <c r="AE446" s="40" t="n">
        <f aca="false">$AA446</f>
        <v>15.33</v>
      </c>
      <c r="AF446" s="40" t="n">
        <f aca="false">$AA446</f>
        <v>15.33</v>
      </c>
      <c r="AG446" s="40" t="n">
        <f aca="false">$AA446</f>
        <v>15.33</v>
      </c>
    </row>
    <row r="447" customFormat="false" ht="15" hidden="false" customHeight="false" outlineLevel="0" collapsed="false">
      <c r="A447" s="3" t="s">
        <v>558</v>
      </c>
      <c r="B447" s="3" t="s">
        <v>454</v>
      </c>
      <c r="D447" s="40" t="n">
        <f aca="false">HeroFobUsd</f>
        <v>7.3793006993007</v>
      </c>
      <c r="E447" s="40" t="n">
        <f aca="false">HeroFobUsd</f>
        <v>7.3793006993007</v>
      </c>
      <c r="F447" s="40" t="n">
        <f aca="false">HeroFobUsd</f>
        <v>7.3793006993007</v>
      </c>
      <c r="G447" s="40" t="n">
        <f aca="false">HeroFobUsd</f>
        <v>7.3793006993007</v>
      </c>
      <c r="H447" s="40" t="n">
        <f aca="false">HeroFobUsd</f>
        <v>7.3793006993007</v>
      </c>
      <c r="I447" s="40" t="n">
        <f aca="false">HeroFobUsd</f>
        <v>7.3793006993007</v>
      </c>
      <c r="J447" s="40" t="n">
        <f aca="false">HeroFobUsd</f>
        <v>7.3793006993007</v>
      </c>
      <c r="K447" s="40" t="n">
        <f aca="false">HeroFobUsd</f>
        <v>7.3793006993007</v>
      </c>
      <c r="L447" s="40" t="n">
        <f aca="false">HeroFobUsd</f>
        <v>7.3793006993007</v>
      </c>
      <c r="M447" s="40" t="n">
        <f aca="false">HeroFobUsd</f>
        <v>7.3793006993007</v>
      </c>
      <c r="N447" s="40" t="n">
        <f aca="false">HeroFobUsd</f>
        <v>7.3793006993007</v>
      </c>
      <c r="O447" s="40" t="n">
        <f aca="false">HeroFobUsd</f>
        <v>7.3793006993007</v>
      </c>
      <c r="P447" s="40" t="n">
        <f aca="false">HeroFobUsd</f>
        <v>7.3793006993007</v>
      </c>
      <c r="Q447" s="40" t="n">
        <f aca="false">HeroFobUsd</f>
        <v>7.3793006993007</v>
      </c>
      <c r="R447" s="40" t="n">
        <f aca="false">HeroFobUsd</f>
        <v>7.3793006993007</v>
      </c>
      <c r="S447" s="40" t="n">
        <f aca="false">HeroFobUsd</f>
        <v>7.3793006993007</v>
      </c>
      <c r="T447" s="40" t="n">
        <f aca="false">HeroFobUsd</f>
        <v>7.3793006993007</v>
      </c>
      <c r="U447" s="40" t="n">
        <f aca="false">HeroFobUsd</f>
        <v>7.3793006993007</v>
      </c>
      <c r="V447" s="40" t="n">
        <f aca="false">HeroFobUsd</f>
        <v>7.3793006993007</v>
      </c>
      <c r="W447" s="40" t="n">
        <f aca="false">HeroFobUsd</f>
        <v>7.3793006993007</v>
      </c>
      <c r="X447" s="40" t="n">
        <f aca="false">HeroFobUsd</f>
        <v>7.3793006993007</v>
      </c>
      <c r="Y447" s="40" t="n">
        <f aca="false">HeroFobUsd</f>
        <v>7.3793006993007</v>
      </c>
      <c r="Z447" s="40" t="n">
        <f aca="false">HeroFobUsd</f>
        <v>7.3793006993007</v>
      </c>
      <c r="AA447" s="40" t="n">
        <f aca="false">HeroFobUsd</f>
        <v>7.3793006993007</v>
      </c>
      <c r="AB447" s="40" t="n">
        <f aca="false">HeroFobUsd</f>
        <v>7.3793006993007</v>
      </c>
      <c r="AC447" s="40" t="n">
        <f aca="false">HeroFobUsd</f>
        <v>7.3793006993007</v>
      </c>
      <c r="AD447" s="40" t="n">
        <f aca="false">HeroFobUsd</f>
        <v>7.3793006993007</v>
      </c>
      <c r="AE447" s="40" t="n">
        <f aca="false">HeroFobUsd</f>
        <v>7.3793006993007</v>
      </c>
      <c r="AF447" s="40" t="n">
        <f aca="false">HeroFobUsd</f>
        <v>7.3793006993007</v>
      </c>
      <c r="AG447" s="40" t="n">
        <f aca="false">HeroFobUsd</f>
        <v>7.3793006993007</v>
      </c>
    </row>
    <row r="448" customFormat="false" ht="15" hidden="false" customHeight="false" outlineLevel="0" collapsed="false">
      <c r="A448" s="3" t="s">
        <v>559</v>
      </c>
      <c r="B448" s="3" t="s">
        <v>454</v>
      </c>
      <c r="D448" s="40" t="n">
        <f aca="false">D446-D447</f>
        <v>8.5806993006993</v>
      </c>
      <c r="E448" s="40" t="n">
        <f aca="false">E446-E447</f>
        <v>8.5806993006993</v>
      </c>
      <c r="F448" s="40" t="n">
        <f aca="false">F446-F447</f>
        <v>8.5806993006993</v>
      </c>
      <c r="G448" s="40" t="n">
        <f aca="false">G446-G447</f>
        <v>8.5806993006993</v>
      </c>
      <c r="H448" s="40" t="n">
        <f aca="false">H446-H447</f>
        <v>8.5806993006993</v>
      </c>
      <c r="I448" s="40" t="n">
        <f aca="false">I446-I447</f>
        <v>8.5806993006993</v>
      </c>
      <c r="J448" s="40" t="n">
        <f aca="false">J446-J447</f>
        <v>8.5806993006993</v>
      </c>
      <c r="K448" s="40" t="n">
        <f aca="false">K446-K447</f>
        <v>8.5806993006993</v>
      </c>
      <c r="L448" s="40" t="n">
        <f aca="false">L446-L447</f>
        <v>8.5806993006993</v>
      </c>
      <c r="M448" s="40" t="n">
        <f aca="false">M446-M447</f>
        <v>8.5806993006993</v>
      </c>
      <c r="N448" s="40" t="n">
        <f aca="false">N446-N447</f>
        <v>8.5806993006993</v>
      </c>
      <c r="O448" s="40" t="n">
        <f aca="false">O446-O447</f>
        <v>8.5806993006993</v>
      </c>
      <c r="P448" s="40" t="n">
        <f aca="false">P446-P447</f>
        <v>8.5806993006993</v>
      </c>
      <c r="Q448" s="40" t="n">
        <f aca="false">Q446-Q447</f>
        <v>8.5806993006993</v>
      </c>
      <c r="R448" s="40" t="n">
        <f aca="false">R446-R447</f>
        <v>8.5806993006993</v>
      </c>
      <c r="S448" s="40" t="n">
        <f aca="false">S446-S447</f>
        <v>8.5806993006993</v>
      </c>
      <c r="T448" s="40" t="n">
        <f aca="false">T446-T447</f>
        <v>8.5806993006993</v>
      </c>
      <c r="U448" s="40" t="n">
        <f aca="false">U446-U447</f>
        <v>8.5806993006993</v>
      </c>
      <c r="V448" s="40" t="n">
        <f aca="false">V446-V447</f>
        <v>7.9506993006993</v>
      </c>
      <c r="W448" s="40" t="n">
        <f aca="false">W446-W447</f>
        <v>7.9506993006993</v>
      </c>
      <c r="X448" s="40" t="n">
        <f aca="false">X446-X447</f>
        <v>7.9506993006993</v>
      </c>
      <c r="Y448" s="40" t="n">
        <f aca="false">Y446-Y447</f>
        <v>7.9506993006993</v>
      </c>
      <c r="Z448" s="40" t="n">
        <f aca="false">Z446-Z447</f>
        <v>7.9506993006993</v>
      </c>
      <c r="AA448" s="40" t="n">
        <f aca="false">AA446-AA447</f>
        <v>7.9506993006993</v>
      </c>
      <c r="AB448" s="40" t="n">
        <f aca="false">AB446-AB447</f>
        <v>7.9506993006993</v>
      </c>
      <c r="AC448" s="40" t="n">
        <f aca="false">AC446-AC447</f>
        <v>7.9506993006993</v>
      </c>
      <c r="AD448" s="40" t="n">
        <f aca="false">AD446-AD447</f>
        <v>7.9506993006993</v>
      </c>
      <c r="AE448" s="40" t="n">
        <f aca="false">AE446-AE447</f>
        <v>7.9506993006993</v>
      </c>
      <c r="AF448" s="40" t="n">
        <f aca="false">AF446-AF447</f>
        <v>7.9506993006993</v>
      </c>
      <c r="AG448" s="40" t="n">
        <f aca="false">AG446-AG447</f>
        <v>7.9506993006993</v>
      </c>
    </row>
    <row r="449" customFormat="false" ht="15" hidden="false" customHeight="false" outlineLevel="0" collapsed="false">
      <c r="A449" s="3" t="s">
        <v>560</v>
      </c>
      <c r="B449" s="3" t="s">
        <v>95</v>
      </c>
      <c r="D449" s="62" t="n">
        <f aca="false">Assumptions!$D$101*AVERAGE(E445:G445)</f>
        <v>916.666666666667</v>
      </c>
      <c r="E449" s="62" t="n">
        <f aca="false">Assumptions!$D$101*AVERAGE(F445:H445)</f>
        <v>1258.33333333333</v>
      </c>
      <c r="F449" s="62" t="n">
        <f aca="false">Assumptions!$D$101*AVERAGE(G445:I445)</f>
        <v>1641.66666666667</v>
      </c>
      <c r="G449" s="62" t="n">
        <f aca="false">Assumptions!$D$101*AVERAGE(H445:J445)</f>
        <v>2058.33333333333</v>
      </c>
      <c r="H449" s="62" t="n">
        <f aca="false">Assumptions!$D$101*AVERAGE(I445:K445)</f>
        <v>2516.66666666667</v>
      </c>
      <c r="I449" s="62" t="n">
        <f aca="false">Assumptions!$D$101*AVERAGE(J445:L445)</f>
        <v>3000</v>
      </c>
      <c r="J449" s="62" t="n">
        <f aca="false">Assumptions!$D$101*AVERAGE(K445:M445)</f>
        <v>3500</v>
      </c>
      <c r="K449" s="62" t="n">
        <f aca="false">Assumptions!$D$101*AVERAGE(L445:N445)</f>
        <v>4000</v>
      </c>
      <c r="L449" s="62" t="n">
        <f aca="false">Assumptions!$D$101*AVERAGE(M445:O445)</f>
        <v>4541.66666666667</v>
      </c>
      <c r="M449" s="62" t="n">
        <f aca="false">Assumptions!$D$101*AVERAGE(N445:P445)</f>
        <v>5564.02116402116</v>
      </c>
      <c r="N449" s="62" t="n">
        <f aca="false">Assumptions!$D$101*AVERAGE(O445:Q445)</f>
        <v>6599.70899470899</v>
      </c>
      <c r="O449" s="62" t="n">
        <f aca="false">Assumptions!$D$101*AVERAGE(P445:R445)</f>
        <v>7562.06349206349</v>
      </c>
      <c r="P449" s="62" t="n">
        <f aca="false">Assumptions!$D$101*AVERAGE(Q445:S445)</f>
        <v>8012.06349206349</v>
      </c>
      <c r="Q449" s="62" t="n">
        <f aca="false">Assumptions!$D$101*AVERAGE(R445:T445)</f>
        <v>8417.06349206349</v>
      </c>
      <c r="R449" s="62" t="n">
        <f aca="false">Assumptions!$D$101*AVERAGE(S445:U445)</f>
        <v>8822.06349206349</v>
      </c>
      <c r="S449" s="62" t="n">
        <f aca="false">Assumptions!$D$101*AVERAGE(T445:V445)</f>
        <v>9182.06349206349</v>
      </c>
      <c r="T449" s="62" t="n">
        <f aca="false">Assumptions!$D$101*AVERAGE(U445:W445)</f>
        <v>9497.06349206349</v>
      </c>
      <c r="U449" s="62" t="n">
        <f aca="false">Assumptions!$D$101*AVERAGE(V445:X445)</f>
        <v>9767.06349206349</v>
      </c>
      <c r="V449" s="62" t="n">
        <f aca="false">Assumptions!$D$101*AVERAGE(W445:Y445)</f>
        <v>10037.0634920635</v>
      </c>
      <c r="W449" s="62" t="n">
        <f aca="false">Assumptions!$D$101*AVERAGE(X445:Z445)</f>
        <v>10307.0634920635</v>
      </c>
      <c r="X449" s="62" t="n">
        <f aca="false">Assumptions!$D$101*AVERAGE(Y445:AA445)</f>
        <v>10577.0634920635</v>
      </c>
      <c r="Y449" s="62" t="n">
        <f aca="false">Assumptions!$D$101*AVERAGE(Z445:AB445)</f>
        <v>11841.7698412698</v>
      </c>
      <c r="Z449" s="62" t="n">
        <f aca="false">Assumptions!$D$101*AVERAGE(AA445:AC445)</f>
        <v>13016.4761904762</v>
      </c>
      <c r="AA449" s="62" t="n">
        <f aca="false">Assumptions!$D$101*AVERAGE(AB445:AD445)</f>
        <v>14101.1825396825</v>
      </c>
      <c r="AB449" s="62" t="n">
        <f aca="false">Assumptions!$D$101*AVERAGE(AC445:AE445)</f>
        <v>14101.1825396825</v>
      </c>
      <c r="AC449" s="62" t="n">
        <f aca="false">Assumptions!$D$101*AVERAGE(AD445:AF445)</f>
        <v>14101.1825396825</v>
      </c>
    </row>
    <row r="450" customFormat="false" ht="15" hidden="false" customHeight="false" outlineLevel="0" collapsed="false">
      <c r="A450" s="3" t="s">
        <v>561</v>
      </c>
      <c r="B450" s="3" t="s">
        <v>95</v>
      </c>
      <c r="D450" s="31" t="n">
        <f aca="false">0</f>
        <v>0</v>
      </c>
      <c r="E450" s="31" t="n">
        <f aca="false">D452</f>
        <v>916.666666666667</v>
      </c>
      <c r="F450" s="31" t="n">
        <f aca="false">E452</f>
        <v>1258.33333333333</v>
      </c>
      <c r="G450" s="31" t="n">
        <f aca="false">F452</f>
        <v>1641.66666666667</v>
      </c>
      <c r="H450" s="31" t="n">
        <f aca="false">G452</f>
        <v>2058.33333333333</v>
      </c>
      <c r="I450" s="31" t="n">
        <f aca="false">H452</f>
        <v>2516.66666666667</v>
      </c>
      <c r="J450" s="31" t="n">
        <f aca="false">I452</f>
        <v>3000</v>
      </c>
      <c r="K450" s="31" t="n">
        <f aca="false">J452</f>
        <v>3500</v>
      </c>
      <c r="L450" s="31" t="n">
        <f aca="false">K452</f>
        <v>4000</v>
      </c>
      <c r="M450" s="31" t="n">
        <f aca="false">L452</f>
        <v>4541.66666666667</v>
      </c>
      <c r="N450" s="31" t="n">
        <f aca="false">M452</f>
        <v>5564.02116402116</v>
      </c>
      <c r="O450" s="31" t="n">
        <f aca="false">N452</f>
        <v>6599.708994709</v>
      </c>
      <c r="P450" s="31" t="n">
        <f aca="false">O452</f>
        <v>7562.06349206349</v>
      </c>
      <c r="Q450" s="31" t="n">
        <f aca="false">P452</f>
        <v>8012.06349206349</v>
      </c>
      <c r="R450" s="31" t="n">
        <f aca="false">Q452</f>
        <v>8417.0634920635</v>
      </c>
      <c r="S450" s="31" t="n">
        <f aca="false">R452</f>
        <v>8822.0634920635</v>
      </c>
      <c r="T450" s="31" t="n">
        <f aca="false">S452</f>
        <v>9182.0634920635</v>
      </c>
      <c r="U450" s="31" t="n">
        <f aca="false">T452</f>
        <v>9497.0634920635</v>
      </c>
      <c r="V450" s="31" t="n">
        <f aca="false">U452</f>
        <v>9767.0634920635</v>
      </c>
      <c r="W450" s="31" t="n">
        <f aca="false">V452</f>
        <v>10037.0634920635</v>
      </c>
      <c r="X450" s="31" t="n">
        <f aca="false">W452</f>
        <v>10307.0634920635</v>
      </c>
      <c r="Y450" s="31" t="n">
        <f aca="false">X452</f>
        <v>10577.0634920635</v>
      </c>
      <c r="Z450" s="31" t="n">
        <f aca="false">Y452</f>
        <v>11841.7698412698</v>
      </c>
      <c r="AA450" s="31" t="n">
        <f aca="false">Z452</f>
        <v>13016.4761904762</v>
      </c>
      <c r="AB450" s="31" t="n">
        <f aca="false">AA452</f>
        <v>14101.1825396825</v>
      </c>
      <c r="AC450" s="31" t="n">
        <f aca="false">AB452</f>
        <v>14101.1825396825</v>
      </c>
    </row>
    <row r="451" customFormat="false" ht="15" hidden="false" customHeight="false" outlineLevel="0" collapsed="false">
      <c r="A451" s="9" t="s">
        <v>562</v>
      </c>
      <c r="B451" s="3" t="s">
        <v>95</v>
      </c>
      <c r="D451" s="24" t="n">
        <f aca="false">MAX(0,D449-(D450-D445))</f>
        <v>1066.66666666667</v>
      </c>
      <c r="E451" s="24" t="n">
        <f aca="false">MAX(0,E449-(E450-E445))</f>
        <v>581.666666666667</v>
      </c>
      <c r="F451" s="24" t="n">
        <f aca="false">MAX(0,F449-(F450-F445))</f>
        <v>743.333333333333</v>
      </c>
      <c r="G451" s="24" t="n">
        <f aca="false">MAX(0,G449-(G450-G445))</f>
        <v>916.666666666667</v>
      </c>
      <c r="H451" s="24" t="n">
        <f aca="false">MAX(0,H449-(H450-H445))</f>
        <v>1108.33333333333</v>
      </c>
      <c r="I451" s="24" t="n">
        <f aca="false">MAX(0,I449-(I450-I445))</f>
        <v>1303.33333333333</v>
      </c>
      <c r="J451" s="24" t="n">
        <f aca="false">MAX(0,J449-(J450-J445))</f>
        <v>1500</v>
      </c>
      <c r="K451" s="24" t="n">
        <f aca="false">MAX(0,K449-(K450-K445))</f>
        <v>1700</v>
      </c>
      <c r="L451" s="24" t="n">
        <f aca="false">MAX(0,L449-(L450-L445))</f>
        <v>1941.66666666667</v>
      </c>
      <c r="M451" s="24" t="n">
        <f aca="false">MAX(0,M449-(M450-M445))</f>
        <v>2622.3544973545</v>
      </c>
      <c r="N451" s="24" t="n">
        <f aca="false">MAX(0,N449-(N450-N445))</f>
        <v>2835.68783068783</v>
      </c>
      <c r="O451" s="24" t="n">
        <f aca="false">MAX(0,O449-(O450-O445))</f>
        <v>3012.3544973545</v>
      </c>
      <c r="P451" s="24" t="n">
        <f aca="false">MAX(0,P449-(P450-P445))</f>
        <v>3276.8253968254</v>
      </c>
      <c r="Q451" s="24" t="n">
        <f aca="false">MAX(0,Q449-(Q450-Q445))</f>
        <v>3447.8253968254</v>
      </c>
      <c r="R451" s="24" t="n">
        <f aca="false">MAX(0,R449-(R450-R445))</f>
        <v>3609.8253968254</v>
      </c>
      <c r="S451" s="24" t="n">
        <f aca="false">MAX(0,S449-(S450-S445))</f>
        <v>3726.8253968254</v>
      </c>
      <c r="T451" s="24" t="n">
        <f aca="false">MAX(0,T449-(T450-T445))</f>
        <v>3843.8253968254</v>
      </c>
      <c r="U451" s="24" t="n">
        <f aca="false">MAX(0,U449-(U450-U445))</f>
        <v>3960.8253968254</v>
      </c>
      <c r="V451" s="24" t="n">
        <f aca="false">MAX(0,V449-(V450-V445))</f>
        <v>4068.8253968254</v>
      </c>
      <c r="W451" s="24" t="n">
        <f aca="false">MAX(0,W449-(W450-W445))</f>
        <v>4176.82539682539</v>
      </c>
      <c r="X451" s="24" t="n">
        <f aca="false">MAX(0,X449-(X450-X445))</f>
        <v>4284.8253968254</v>
      </c>
      <c r="Y451" s="24" t="n">
        <f aca="false">MAX(0,Y449-(Y450-Y445))</f>
        <v>5387.53174603175</v>
      </c>
      <c r="Z451" s="24" t="n">
        <f aca="false">MAX(0,Z449-(Z450-Z445))</f>
        <v>5405.53174603175</v>
      </c>
      <c r="AA451" s="24" t="n">
        <f aca="false">MAX(0,AA449-(AA450-AA445))</f>
        <v>5423.53174603175</v>
      </c>
      <c r="AB451" s="24" t="n">
        <f aca="false">MAX(0,AB449-(AB450-AB445))</f>
        <v>5640.47301587302</v>
      </c>
      <c r="AC451" s="24" t="n">
        <f aca="false">MAX(0,AC449-(AC450-AC445))</f>
        <v>5640.47301587302</v>
      </c>
    </row>
    <row r="452" customFormat="false" ht="15" hidden="false" customHeight="false" outlineLevel="0" collapsed="false">
      <c r="A452" s="3" t="s">
        <v>563</v>
      </c>
      <c r="B452" s="3" t="s">
        <v>95</v>
      </c>
      <c r="D452" s="31" t="n">
        <f aca="false">D450+D451-D445</f>
        <v>916.666666666667</v>
      </c>
      <c r="E452" s="31" t="n">
        <f aca="false">E450+E451-E445</f>
        <v>1258.33333333333</v>
      </c>
      <c r="F452" s="31" t="n">
        <f aca="false">F450+F451-F445</f>
        <v>1641.66666666667</v>
      </c>
      <c r="G452" s="31" t="n">
        <f aca="false">G450+G451-G445</f>
        <v>2058.33333333333</v>
      </c>
      <c r="H452" s="31" t="n">
        <f aca="false">H450+H451-H445</f>
        <v>2516.66666666667</v>
      </c>
      <c r="I452" s="31" t="n">
        <f aca="false">I450+I451-I445</f>
        <v>3000</v>
      </c>
      <c r="J452" s="31" t="n">
        <f aca="false">J450+J451-J445</f>
        <v>3500</v>
      </c>
      <c r="K452" s="31" t="n">
        <f aca="false">K450+K451-K445</f>
        <v>4000</v>
      </c>
      <c r="L452" s="31" t="n">
        <f aca="false">L450+L451-L445</f>
        <v>4541.66666666667</v>
      </c>
      <c r="M452" s="31" t="n">
        <f aca="false">M450+M451-M445</f>
        <v>5564.02116402116</v>
      </c>
      <c r="N452" s="31" t="n">
        <f aca="false">N450+N451-N445</f>
        <v>6599.708994709</v>
      </c>
      <c r="O452" s="31" t="n">
        <f aca="false">O450+O451-O445</f>
        <v>7562.06349206349</v>
      </c>
      <c r="P452" s="31" t="n">
        <f aca="false">P450+P451-P445</f>
        <v>8012.06349206349</v>
      </c>
      <c r="Q452" s="31" t="n">
        <f aca="false">Q450+Q451-Q445</f>
        <v>8417.0634920635</v>
      </c>
      <c r="R452" s="31" t="n">
        <f aca="false">R450+R451-R445</f>
        <v>8822.0634920635</v>
      </c>
      <c r="S452" s="31" t="n">
        <f aca="false">S450+S451-S445</f>
        <v>9182.0634920635</v>
      </c>
      <c r="T452" s="31" t="n">
        <f aca="false">T450+T451-T445</f>
        <v>9497.0634920635</v>
      </c>
      <c r="U452" s="31" t="n">
        <f aca="false">U450+U451-U445</f>
        <v>9767.0634920635</v>
      </c>
      <c r="V452" s="31" t="n">
        <f aca="false">V450+V451-V445</f>
        <v>10037.0634920635</v>
      </c>
      <c r="W452" s="31" t="n">
        <f aca="false">W450+W451-W445</f>
        <v>10307.0634920635</v>
      </c>
      <c r="X452" s="31" t="n">
        <f aca="false">X450+X451-X445</f>
        <v>10577.0634920635</v>
      </c>
      <c r="Y452" s="31" t="n">
        <f aca="false">Y450+Y451-Y445</f>
        <v>11841.7698412698</v>
      </c>
      <c r="Z452" s="31" t="n">
        <f aca="false">Z450+Z451-Z445</f>
        <v>13016.4761904762</v>
      </c>
      <c r="AA452" s="31" t="n">
        <f aca="false">AA450+AA451-AA445</f>
        <v>14101.1825396825</v>
      </c>
      <c r="AB452" s="31" t="n">
        <f aca="false">AB450+AB451-AB445</f>
        <v>14101.1825396825</v>
      </c>
      <c r="AC452" s="31" t="n">
        <f aca="false">AC450+AC451-AC445</f>
        <v>14101.1825396825</v>
      </c>
    </row>
    <row r="453" customFormat="false" ht="15" hidden="false" customHeight="false" outlineLevel="0" collapsed="false">
      <c r="A453" s="3" t="s">
        <v>564</v>
      </c>
      <c r="B453" s="3" t="s">
        <v>186</v>
      </c>
      <c r="D453" s="66" t="n">
        <f aca="false">IF(D$443&gt;=Assumptions!$D$102,Assumptions!$D$104,Assumptions!$D$103)</f>
        <v>1</v>
      </c>
      <c r="E453" s="66" t="n">
        <f aca="false">IF(E$443&gt;=Assumptions!$D$102,Assumptions!$D$104,Assumptions!$D$103)</f>
        <v>1</v>
      </c>
      <c r="F453" s="66" t="n">
        <f aca="false">IF(F$443&gt;=Assumptions!$D$102,Assumptions!$D$104,Assumptions!$D$103)</f>
        <v>1</v>
      </c>
      <c r="G453" s="66" t="n">
        <f aca="false">IF(G$443&gt;=Assumptions!$D$102,Assumptions!$D$104,Assumptions!$D$103)</f>
        <v>1</v>
      </c>
      <c r="H453" s="66" t="n">
        <f aca="false">IF(H$443&gt;=Assumptions!$D$102,Assumptions!$D$104,Assumptions!$D$103)</f>
        <v>1</v>
      </c>
      <c r="I453" s="66" t="n">
        <f aca="false">IF(I$443&gt;=Assumptions!$D$102,Assumptions!$D$104,Assumptions!$D$103)</f>
        <v>1</v>
      </c>
      <c r="J453" s="66" t="n">
        <f aca="false">IF(J$443&gt;=Assumptions!$D$102,Assumptions!$D$104,Assumptions!$D$103)</f>
        <v>2</v>
      </c>
      <c r="K453" s="66" t="n">
        <f aca="false">IF(K$443&gt;=Assumptions!$D$102,Assumptions!$D$104,Assumptions!$D$103)</f>
        <v>2</v>
      </c>
      <c r="L453" s="66" t="n">
        <f aca="false">IF(L$443&gt;=Assumptions!$D$102,Assumptions!$D$104,Assumptions!$D$103)</f>
        <v>2</v>
      </c>
      <c r="M453" s="66" t="n">
        <f aca="false">IF(M$443&gt;=Assumptions!$D$102,Assumptions!$D$104,Assumptions!$D$103)</f>
        <v>2</v>
      </c>
      <c r="N453" s="66" t="n">
        <f aca="false">IF(N$443&gt;=Assumptions!$D$102,Assumptions!$D$104,Assumptions!$D$103)</f>
        <v>2</v>
      </c>
      <c r="O453" s="66" t="n">
        <f aca="false">IF(O$443&gt;=Assumptions!$D$102,Assumptions!$D$104,Assumptions!$D$103)</f>
        <v>2</v>
      </c>
      <c r="P453" s="66" t="n">
        <f aca="false">IF(P$443&gt;=Assumptions!$D$102,Assumptions!$D$104,Assumptions!$D$103)</f>
        <v>2</v>
      </c>
      <c r="Q453" s="66" t="n">
        <f aca="false">IF(Q$443&gt;=Assumptions!$D$102,Assumptions!$D$104,Assumptions!$D$103)</f>
        <v>2</v>
      </c>
      <c r="R453" s="66" t="n">
        <f aca="false">IF(R$443&gt;=Assumptions!$D$102,Assumptions!$D$104,Assumptions!$D$103)</f>
        <v>2</v>
      </c>
      <c r="S453" s="66" t="n">
        <f aca="false">IF(S$443&gt;=Assumptions!$D$102,Assumptions!$D$104,Assumptions!$D$103)</f>
        <v>2</v>
      </c>
      <c r="T453" s="66" t="n">
        <f aca="false">IF(T$443&gt;=Assumptions!$D$102,Assumptions!$D$104,Assumptions!$D$103)</f>
        <v>2</v>
      </c>
      <c r="U453" s="66" t="n">
        <f aca="false">IF(U$443&gt;=Assumptions!$D$102,Assumptions!$D$104,Assumptions!$D$103)</f>
        <v>2</v>
      </c>
      <c r="V453" s="66" t="n">
        <f aca="false">IF(V$443&gt;=Assumptions!$D$102,Assumptions!$D$104,Assumptions!$D$103)</f>
        <v>2</v>
      </c>
      <c r="W453" s="66" t="n">
        <f aca="false">IF(W$443&gt;=Assumptions!$D$102,Assumptions!$D$104,Assumptions!$D$103)</f>
        <v>2</v>
      </c>
      <c r="X453" s="66" t="n">
        <f aca="false">IF(X$443&gt;=Assumptions!$D$102,Assumptions!$D$104,Assumptions!$D$103)</f>
        <v>2</v>
      </c>
      <c r="Y453" s="66" t="n">
        <f aca="false">IF(Y$443&gt;=Assumptions!$D$102,Assumptions!$D$104,Assumptions!$D$103)</f>
        <v>2</v>
      </c>
      <c r="Z453" s="66" t="n">
        <f aca="false">IF(Z$443&gt;=Assumptions!$D$102,Assumptions!$D$104,Assumptions!$D$103)</f>
        <v>2</v>
      </c>
      <c r="AA453" s="66" t="n">
        <f aca="false">IF(AA$443&gt;=Assumptions!$D$102,Assumptions!$D$104,Assumptions!$D$103)</f>
        <v>2</v>
      </c>
      <c r="AB453" s="66" t="n">
        <f aca="false">IF(AB$443&gt;=Assumptions!$D$102,Assumptions!$D$104,Assumptions!$D$103)</f>
        <v>2</v>
      </c>
      <c r="AC453" s="66" t="n">
        <f aca="false">IF(AC$443&gt;=Assumptions!$D$102,Assumptions!$D$104,Assumptions!$D$103)</f>
        <v>2</v>
      </c>
    </row>
    <row r="454" customFormat="false" ht="15" hidden="false" customHeight="false" outlineLevel="0" collapsed="false">
      <c r="A454" s="3" t="s">
        <v>565</v>
      </c>
      <c r="B454" s="3" t="s">
        <v>90</v>
      </c>
      <c r="D454" s="30" t="n">
        <f aca="false">D$443-D453</f>
        <v>0</v>
      </c>
      <c r="E454" s="30" t="n">
        <f aca="false">E$443-E453</f>
        <v>1</v>
      </c>
      <c r="F454" s="30" t="n">
        <f aca="false">F$443-F453</f>
        <v>2</v>
      </c>
      <c r="G454" s="30" t="n">
        <f aca="false">G$443-G453</f>
        <v>3</v>
      </c>
      <c r="H454" s="30" t="n">
        <f aca="false">H$443-H453</f>
        <v>4</v>
      </c>
      <c r="I454" s="30" t="n">
        <f aca="false">I$443-I453</f>
        <v>5</v>
      </c>
      <c r="J454" s="30" t="n">
        <f aca="false">J$443-J453</f>
        <v>5</v>
      </c>
      <c r="K454" s="30" t="n">
        <f aca="false">K$443-K453</f>
        <v>6</v>
      </c>
      <c r="L454" s="30" t="n">
        <f aca="false">L$443-L453</f>
        <v>7</v>
      </c>
      <c r="M454" s="30" t="n">
        <f aca="false">M$443-M453</f>
        <v>8</v>
      </c>
      <c r="N454" s="30" t="n">
        <f aca="false">N$443-N453</f>
        <v>9</v>
      </c>
      <c r="O454" s="30" t="n">
        <f aca="false">O$443-O453</f>
        <v>10</v>
      </c>
      <c r="P454" s="30" t="n">
        <f aca="false">P$443-P453</f>
        <v>11</v>
      </c>
      <c r="Q454" s="30" t="n">
        <f aca="false">Q$443-Q453</f>
        <v>12</v>
      </c>
      <c r="R454" s="30" t="n">
        <f aca="false">R$443-R453</f>
        <v>13</v>
      </c>
      <c r="S454" s="30" t="n">
        <f aca="false">S$443-S453</f>
        <v>14</v>
      </c>
      <c r="T454" s="30" t="n">
        <f aca="false">T$443-T453</f>
        <v>15</v>
      </c>
      <c r="U454" s="30" t="n">
        <f aca="false">U$443-U453</f>
        <v>16</v>
      </c>
      <c r="V454" s="30" t="n">
        <f aca="false">V$443-V453</f>
        <v>17</v>
      </c>
      <c r="W454" s="30" t="n">
        <f aca="false">W$443-W453</f>
        <v>18</v>
      </c>
      <c r="X454" s="30" t="n">
        <f aca="false">X$443-X453</f>
        <v>19</v>
      </c>
      <c r="Y454" s="30" t="n">
        <f aca="false">Y$443-Y453</f>
        <v>20</v>
      </c>
      <c r="Z454" s="30" t="n">
        <f aca="false">Z$443-Z453</f>
        <v>21</v>
      </c>
      <c r="AA454" s="30" t="n">
        <f aca="false">AA$443-AA453</f>
        <v>22</v>
      </c>
      <c r="AB454" s="30" t="n">
        <f aca="false">AB$443-AB453</f>
        <v>23</v>
      </c>
      <c r="AC454" s="30" t="n">
        <f aca="false">AC$443-AC453</f>
        <v>24</v>
      </c>
    </row>
    <row r="455" customFormat="false" ht="15" hidden="false" customHeight="false" outlineLevel="0" collapsed="false">
      <c r="A455" s="3" t="s">
        <v>566</v>
      </c>
      <c r="B455" s="3" t="s">
        <v>90</v>
      </c>
      <c r="D455" s="30" t="n">
        <f aca="false">D$443-1</f>
        <v>0</v>
      </c>
      <c r="E455" s="30" t="n">
        <f aca="false">E$443-1</f>
        <v>1</v>
      </c>
      <c r="F455" s="30" t="n">
        <f aca="false">F$443-1</f>
        <v>2</v>
      </c>
      <c r="G455" s="30" t="n">
        <f aca="false">G$443-1</f>
        <v>3</v>
      </c>
      <c r="H455" s="30" t="n">
        <f aca="false">H$443-1</f>
        <v>4</v>
      </c>
      <c r="I455" s="30" t="n">
        <f aca="false">I$443-1</f>
        <v>5</v>
      </c>
      <c r="J455" s="30" t="n">
        <f aca="false">J$443-1</f>
        <v>6</v>
      </c>
      <c r="K455" s="30" t="n">
        <f aca="false">K$443-1</f>
        <v>7</v>
      </c>
      <c r="L455" s="30" t="n">
        <f aca="false">L$443-1</f>
        <v>8</v>
      </c>
      <c r="M455" s="30" t="n">
        <f aca="false">M$443-1</f>
        <v>9</v>
      </c>
      <c r="N455" s="30" t="n">
        <f aca="false">N$443-1</f>
        <v>10</v>
      </c>
      <c r="O455" s="30" t="n">
        <f aca="false">O$443-1</f>
        <v>11</v>
      </c>
      <c r="P455" s="30" t="n">
        <f aca="false">P$443-1</f>
        <v>12</v>
      </c>
      <c r="Q455" s="30" t="n">
        <f aca="false">Q$443-1</f>
        <v>13</v>
      </c>
      <c r="R455" s="30" t="n">
        <f aca="false">R$443-1</f>
        <v>14</v>
      </c>
      <c r="S455" s="30" t="n">
        <f aca="false">S$443-1</f>
        <v>15</v>
      </c>
      <c r="T455" s="30" t="n">
        <f aca="false">T$443-1</f>
        <v>16</v>
      </c>
      <c r="U455" s="30" t="n">
        <f aca="false">U$443-1</f>
        <v>17</v>
      </c>
      <c r="V455" s="30" t="n">
        <f aca="false">V$443-1</f>
        <v>18</v>
      </c>
      <c r="W455" s="30" t="n">
        <f aca="false">W$443-1</f>
        <v>19</v>
      </c>
      <c r="X455" s="30" t="n">
        <f aca="false">X$443-1</f>
        <v>20</v>
      </c>
      <c r="Y455" s="30" t="n">
        <f aca="false">Y$443-1</f>
        <v>21</v>
      </c>
      <c r="Z455" s="30" t="n">
        <f aca="false">Z$443-1</f>
        <v>22</v>
      </c>
      <c r="AA455" s="30" t="n">
        <f aca="false">AA$443-1</f>
        <v>23</v>
      </c>
      <c r="AB455" s="30" t="n">
        <f aca="false">AB$443-1</f>
        <v>24</v>
      </c>
      <c r="AC455" s="30" t="n">
        <f aca="false">AC$443-1</f>
        <v>25</v>
      </c>
    </row>
    <row r="456" customFormat="false" ht="15" hidden="false" customHeight="false" outlineLevel="0" collapsed="false">
      <c r="A456" s="3" t="s">
        <v>567</v>
      </c>
      <c r="B456" s="3" t="s">
        <v>62</v>
      </c>
      <c r="D456" s="38" t="n">
        <f aca="false">D451*D447</f>
        <v>7871.25407925408</v>
      </c>
      <c r="E456" s="38" t="n">
        <f aca="false">E451*E447</f>
        <v>4292.29324009324</v>
      </c>
      <c r="F456" s="38" t="n">
        <f aca="false">F451*F447</f>
        <v>5485.28018648019</v>
      </c>
      <c r="G456" s="38" t="n">
        <f aca="false">G451*G447</f>
        <v>6764.35897435898</v>
      </c>
      <c r="H456" s="38" t="n">
        <f aca="false">H451*H447</f>
        <v>8178.72494172494</v>
      </c>
      <c r="I456" s="38" t="n">
        <f aca="false">I451*I447</f>
        <v>9617.68857808858</v>
      </c>
      <c r="J456" s="38" t="n">
        <f aca="false">J451*J447</f>
        <v>11068.9510489511</v>
      </c>
      <c r="K456" s="38" t="n">
        <f aca="false">K451*K447</f>
        <v>12544.8111888112</v>
      </c>
      <c r="L456" s="38" t="n">
        <f aca="false">L451*L447</f>
        <v>14328.1421911422</v>
      </c>
      <c r="M456" s="38" t="n">
        <f aca="false">M451*M447</f>
        <v>19351.1423761424</v>
      </c>
      <c r="N456" s="38" t="n">
        <f aca="false">N451*N447</f>
        <v>20925.3931919932</v>
      </c>
      <c r="O456" s="38" t="n">
        <f aca="false">O451*O447</f>
        <v>22229.0696488697</v>
      </c>
      <c r="P456" s="38" t="n">
        <f aca="false">P451*P447</f>
        <v>24180.6799422799</v>
      </c>
      <c r="Q456" s="38" t="n">
        <f aca="false">Q451*Q447</f>
        <v>25442.5403618604</v>
      </c>
      <c r="R456" s="38" t="n">
        <f aca="false">R451*R447</f>
        <v>26637.9870751471</v>
      </c>
      <c r="S456" s="38" t="n">
        <f aca="false">S451*S447</f>
        <v>27501.3652569652</v>
      </c>
      <c r="T456" s="38" t="n">
        <f aca="false">T451*T447</f>
        <v>28364.7434387834</v>
      </c>
      <c r="U456" s="38" t="n">
        <f aca="false">U451*U447</f>
        <v>29228.1216206016</v>
      </c>
      <c r="V456" s="38" t="n">
        <f aca="false">V451*V447</f>
        <v>30025.0860961261</v>
      </c>
      <c r="W456" s="38" t="n">
        <f aca="false">W451*W447</f>
        <v>30822.0505716506</v>
      </c>
      <c r="X456" s="38" t="n">
        <f aca="false">X451*X447</f>
        <v>31619.0150471751</v>
      </c>
      <c r="Y456" s="38" t="n">
        <f aca="false">Y451*Y447</f>
        <v>39756.2167809968</v>
      </c>
      <c r="Z456" s="38" t="n">
        <f aca="false">Z451*Z447</f>
        <v>39889.0441935842</v>
      </c>
      <c r="AA456" s="38" t="n">
        <f aca="false">AA451*AA447</f>
        <v>40021.8716061716</v>
      </c>
      <c r="AB456" s="38" t="n">
        <f aca="false">AB451*AB447</f>
        <v>41622.7464704185</v>
      </c>
      <c r="AC456" s="38" t="n">
        <f aca="false">AC451*AC447</f>
        <v>41622.7464704185</v>
      </c>
    </row>
    <row r="457" customFormat="false" ht="15" hidden="false" customHeight="false" outlineLevel="0" collapsed="false">
      <c r="A457" s="3" t="s">
        <v>568</v>
      </c>
      <c r="B457" s="3" t="s">
        <v>62</v>
      </c>
      <c r="D457" s="38" t="n">
        <f aca="false">D451*D448</f>
        <v>9152.74592074592</v>
      </c>
      <c r="E457" s="38" t="n">
        <f aca="false">E451*E448</f>
        <v>4991.10675990676</v>
      </c>
      <c r="F457" s="38" t="n">
        <f aca="false">F451*F448</f>
        <v>6378.31981351981</v>
      </c>
      <c r="G457" s="38" t="n">
        <f aca="false">G451*G448</f>
        <v>7865.64102564103</v>
      </c>
      <c r="H457" s="38" t="n">
        <f aca="false">H451*H448</f>
        <v>9510.27505827506</v>
      </c>
      <c r="I457" s="38" t="n">
        <f aca="false">I451*I448</f>
        <v>11183.5114219114</v>
      </c>
      <c r="J457" s="38" t="n">
        <f aca="false">J451*J448</f>
        <v>12871.048951049</v>
      </c>
      <c r="K457" s="38" t="n">
        <f aca="false">K451*K448</f>
        <v>14587.1888111888</v>
      </c>
      <c r="L457" s="38" t="n">
        <f aca="false">L451*L448</f>
        <v>16660.8578088578</v>
      </c>
      <c r="M457" s="38" t="n">
        <f aca="false">M451*M448</f>
        <v>22501.6354016354</v>
      </c>
      <c r="N457" s="38" t="n">
        <f aca="false">N451*N448</f>
        <v>24332.1845857846</v>
      </c>
      <c r="O457" s="38" t="n">
        <f aca="false">O451*O448</f>
        <v>25848.1081289081</v>
      </c>
      <c r="P457" s="38" t="n">
        <f aca="false">P451*P448</f>
        <v>28117.4533910534</v>
      </c>
      <c r="Q457" s="38" t="n">
        <f aca="false">Q451*Q448</f>
        <v>29584.752971473</v>
      </c>
      <c r="R457" s="38" t="n">
        <f aca="false">R451*R448</f>
        <v>30974.8262581862</v>
      </c>
      <c r="S457" s="38" t="n">
        <f aca="false">S451*S448</f>
        <v>31978.7680763681</v>
      </c>
      <c r="T457" s="38" t="n">
        <f aca="false">T451*T448</f>
        <v>32982.7098945499</v>
      </c>
      <c r="U457" s="38" t="n">
        <f aca="false">U451*U448</f>
        <v>33986.6517127317</v>
      </c>
      <c r="V457" s="38" t="n">
        <f aca="false">V451*V448</f>
        <v>32350.0072372072</v>
      </c>
      <c r="W457" s="38" t="n">
        <f aca="false">W451*W448</f>
        <v>33208.6827616827</v>
      </c>
      <c r="X457" s="38" t="n">
        <f aca="false">X451*X448</f>
        <v>34067.3582861583</v>
      </c>
      <c r="Y457" s="38" t="n">
        <f aca="false">Y451*Y448</f>
        <v>42834.6448856699</v>
      </c>
      <c r="Z457" s="38" t="n">
        <f aca="false">Z451*Z448</f>
        <v>42977.7574730825</v>
      </c>
      <c r="AA457" s="38" t="n">
        <f aca="false">AA451*AA448</f>
        <v>43120.8700604951</v>
      </c>
      <c r="AB457" s="38" t="n">
        <f aca="false">AB451*AB448</f>
        <v>44845.7048629149</v>
      </c>
      <c r="AC457" s="38" t="n">
        <f aca="false">AC451*AC448</f>
        <v>44845.7048629149</v>
      </c>
    </row>
    <row r="459" customFormat="false" ht="15" hidden="false" customHeight="false" outlineLevel="0" collapsed="false">
      <c r="A459" s="9" t="s">
        <v>569</v>
      </c>
    </row>
    <row r="460" customFormat="false" ht="15" hidden="false" customHeight="false" outlineLevel="0" collapsed="false">
      <c r="A460" s="3" t="s">
        <v>570</v>
      </c>
      <c r="B460" s="3" t="s">
        <v>62</v>
      </c>
      <c r="C460" s="60" t="n">
        <f aca="false">Assumptions!$D$107*SUMPRODUCT(($D$454:$AC$454=C$443)*$D$456:$AC$456)</f>
        <v>2361.37622377622</v>
      </c>
      <c r="D460" s="60" t="n">
        <f aca="false">Assumptions!$D$107*SUMPRODUCT(($D$454:$AC$454=D$443)*$D$456:$AC$456)</f>
        <v>1287.68797202797</v>
      </c>
      <c r="E460" s="60" t="n">
        <f aca="false">Assumptions!$D$107*SUMPRODUCT(($D$454:$AC$454=E$443)*$D$456:$AC$456)</f>
        <v>1645.58405594406</v>
      </c>
      <c r="F460" s="60" t="n">
        <f aca="false">Assumptions!$D$107*SUMPRODUCT(($D$454:$AC$454=F$443)*$D$456:$AC$456)</f>
        <v>2029.30769230769</v>
      </c>
      <c r="G460" s="60" t="n">
        <f aca="false">Assumptions!$D$107*SUMPRODUCT(($D$454:$AC$454=G$443)*$D$456:$AC$456)</f>
        <v>2453.61748251748</v>
      </c>
      <c r="H460" s="60" t="n">
        <f aca="false">Assumptions!$D$107*SUMPRODUCT(($D$454:$AC$454=H$443)*$D$456:$AC$456)</f>
        <v>6205.99188811189</v>
      </c>
      <c r="I460" s="60" t="n">
        <f aca="false">Assumptions!$D$107*SUMPRODUCT(($D$454:$AC$454=I$443)*$D$456:$AC$456)</f>
        <v>3763.44335664336</v>
      </c>
      <c r="J460" s="60" t="n">
        <f aca="false">Assumptions!$D$107*SUMPRODUCT(($D$454:$AC$454=J$443)*$D$456:$AC$456)</f>
        <v>4298.44265734266</v>
      </c>
      <c r="K460" s="60" t="n">
        <f aca="false">Assumptions!$D$107*SUMPRODUCT(($D$454:$AC$454=K$443)*$D$456:$AC$456)</f>
        <v>5805.34271284271</v>
      </c>
      <c r="L460" s="60" t="n">
        <f aca="false">Assumptions!$D$107*SUMPRODUCT(($D$454:$AC$454=L$443)*$D$456:$AC$456)</f>
        <v>6277.61795759796</v>
      </c>
      <c r="M460" s="60" t="n">
        <f aca="false">Assumptions!$D$107*SUMPRODUCT(($D$454:$AC$454=M$443)*$D$456:$AC$456)</f>
        <v>6668.7208946609</v>
      </c>
      <c r="N460" s="60" t="n">
        <f aca="false">Assumptions!$D$107*SUMPRODUCT(($D$454:$AC$454=N$443)*$D$456:$AC$456)</f>
        <v>7254.20398268398</v>
      </c>
      <c r="O460" s="60" t="n">
        <f aca="false">Assumptions!$D$107*SUMPRODUCT(($D$454:$AC$454=O$443)*$D$456:$AC$456)</f>
        <v>7632.76210855811</v>
      </c>
      <c r="P460" s="60" t="n">
        <f aca="false">Assumptions!$D$107*SUMPRODUCT(($D$454:$AC$454=P$443)*$D$456:$AC$456)</f>
        <v>7991.39612254412</v>
      </c>
      <c r="Q460" s="60" t="n">
        <f aca="false">Assumptions!$D$107*SUMPRODUCT(($D$454:$AC$454=Q$443)*$D$456:$AC$456)</f>
        <v>8250.40957708958</v>
      </c>
      <c r="R460" s="60" t="n">
        <f aca="false">Assumptions!$D$107*SUMPRODUCT(($D$454:$AC$454=R$443)*$D$456:$AC$456)</f>
        <v>8509.42303163503</v>
      </c>
      <c r="S460" s="60" t="n">
        <f aca="false">Assumptions!$D$107*SUMPRODUCT(($D$454:$AC$454=S$443)*$D$456:$AC$456)</f>
        <v>8768.43648618048</v>
      </c>
      <c r="T460" s="60" t="n">
        <f aca="false">Assumptions!$D$107*SUMPRODUCT(($D$454:$AC$454=T$443)*$D$456:$AC$456)</f>
        <v>9007.52582883783</v>
      </c>
      <c r="U460" s="60" t="n">
        <f aca="false">Assumptions!$D$107*SUMPRODUCT(($D$454:$AC$454=U$443)*$D$456:$AC$456)</f>
        <v>9246.61517149517</v>
      </c>
      <c r="V460" s="60" t="n">
        <f aca="false">Assumptions!$D$107*SUMPRODUCT(($D$454:$AC$454=V$443)*$D$456:$AC$456)</f>
        <v>9485.70451415252</v>
      </c>
      <c r="W460" s="60" t="n">
        <f aca="false">Assumptions!$D$107*SUMPRODUCT(($D$454:$AC$454=W$443)*$D$456:$AC$456)</f>
        <v>11926.865034299</v>
      </c>
      <c r="X460" s="60" t="n">
        <f aca="false">Assumptions!$D$107*SUMPRODUCT(($D$454:$AC$454=X$443)*$D$456:$AC$456)</f>
        <v>11966.7132580753</v>
      </c>
      <c r="Y460" s="60" t="n">
        <f aca="false">Assumptions!$D$107*SUMPRODUCT(($D$454:$AC$454=Y$443)*$D$456:$AC$456)</f>
        <v>12006.5614818515</v>
      </c>
      <c r="Z460" s="60" t="n">
        <f aca="false">Assumptions!$D$107*SUMPRODUCT(($D$454:$AC$454=Z$443)*$D$456:$AC$456)</f>
        <v>12486.8239411255</v>
      </c>
      <c r="AA460" s="60" t="n">
        <f aca="false">Assumptions!$D$107*SUMPRODUCT(($D$454:$AC$454=AA$443)*$D$456:$AC$456)</f>
        <v>12486.8239411255</v>
      </c>
    </row>
    <row r="461" customFormat="false" ht="15" hidden="false" customHeight="false" outlineLevel="0" collapsed="false">
      <c r="A461" s="3" t="s">
        <v>571</v>
      </c>
      <c r="B461" s="3" t="s">
        <v>62</v>
      </c>
      <c r="C461" s="60" t="n">
        <f aca="false">(1-Assumptions!$D$107)*SUMPRODUCT(($D$455:$AC$455=C$443)*$D$456:$AC$456)</f>
        <v>5509.87785547786</v>
      </c>
      <c r="D461" s="60" t="n">
        <f aca="false">(1-Assumptions!$D$107)*SUMPRODUCT(($D$455:$AC$455=D$443)*$D$456:$AC$456)</f>
        <v>3004.60526806527</v>
      </c>
      <c r="E461" s="60" t="n">
        <f aca="false">(1-Assumptions!$D$107)*SUMPRODUCT(($D$455:$AC$455=E$443)*$D$456:$AC$456)</f>
        <v>3839.69613053613</v>
      </c>
      <c r="F461" s="60" t="n">
        <f aca="false">(1-Assumptions!$D$107)*SUMPRODUCT(($D$455:$AC$455=F$443)*$D$456:$AC$456)</f>
        <v>4735.05128205128</v>
      </c>
      <c r="G461" s="60" t="n">
        <f aca="false">(1-Assumptions!$D$107)*SUMPRODUCT(($D$455:$AC$455=G$443)*$D$456:$AC$456)</f>
        <v>5725.10745920746</v>
      </c>
      <c r="H461" s="60" t="n">
        <f aca="false">(1-Assumptions!$D$107)*SUMPRODUCT(($D$455:$AC$455=H$443)*$D$456:$AC$456)</f>
        <v>6732.38200466201</v>
      </c>
      <c r="I461" s="60" t="n">
        <f aca="false">(1-Assumptions!$D$107)*SUMPRODUCT(($D$455:$AC$455=I$443)*$D$456:$AC$456)</f>
        <v>7748.26573426574</v>
      </c>
      <c r="J461" s="60" t="n">
        <f aca="false">(1-Assumptions!$D$107)*SUMPRODUCT(($D$455:$AC$455=J$443)*$D$456:$AC$456)</f>
        <v>8781.36783216783</v>
      </c>
      <c r="K461" s="60" t="n">
        <f aca="false">(1-Assumptions!$D$107)*SUMPRODUCT(($D$455:$AC$455=K$443)*$D$456:$AC$456)</f>
        <v>10029.6995337995</v>
      </c>
      <c r="L461" s="60" t="n">
        <f aca="false">(1-Assumptions!$D$107)*SUMPRODUCT(($D$455:$AC$455=L$443)*$D$456:$AC$456)</f>
        <v>13545.7996632997</v>
      </c>
      <c r="M461" s="60" t="n">
        <f aca="false">(1-Assumptions!$D$107)*SUMPRODUCT(($D$455:$AC$455=M$443)*$D$456:$AC$456)</f>
        <v>14647.7752343952</v>
      </c>
      <c r="N461" s="60" t="n">
        <f aca="false">(1-Assumptions!$D$107)*SUMPRODUCT(($D$455:$AC$455=N$443)*$D$456:$AC$456)</f>
        <v>15560.3487542088</v>
      </c>
      <c r="O461" s="60" t="n">
        <f aca="false">(1-Assumptions!$D$107)*SUMPRODUCT(($D$455:$AC$455=O$443)*$D$456:$AC$456)</f>
        <v>16926.475959596</v>
      </c>
      <c r="P461" s="60" t="n">
        <f aca="false">(1-Assumptions!$D$107)*SUMPRODUCT(($D$455:$AC$455=P$443)*$D$456:$AC$456)</f>
        <v>17809.7782533023</v>
      </c>
      <c r="Q461" s="60" t="n">
        <f aca="false">(1-Assumptions!$D$107)*SUMPRODUCT(($D$455:$AC$455=Q$443)*$D$456:$AC$456)</f>
        <v>18646.5909526029</v>
      </c>
      <c r="R461" s="60" t="n">
        <f aca="false">(1-Assumptions!$D$107)*SUMPRODUCT(($D$455:$AC$455=R$443)*$D$456:$AC$456)</f>
        <v>19250.9556798757</v>
      </c>
      <c r="S461" s="60" t="n">
        <f aca="false">(1-Assumptions!$D$107)*SUMPRODUCT(($D$455:$AC$455=S$443)*$D$456:$AC$456)</f>
        <v>19855.3204071484</v>
      </c>
      <c r="T461" s="60" t="n">
        <f aca="false">(1-Assumptions!$D$107)*SUMPRODUCT(($D$455:$AC$455=T$443)*$D$456:$AC$456)</f>
        <v>20459.6851344211</v>
      </c>
      <c r="U461" s="60" t="n">
        <f aca="false">(1-Assumptions!$D$107)*SUMPRODUCT(($D$455:$AC$455=U$443)*$D$456:$AC$456)</f>
        <v>21017.5602672883</v>
      </c>
      <c r="V461" s="60" t="n">
        <f aca="false">(1-Assumptions!$D$107)*SUMPRODUCT(($D$455:$AC$455=V$443)*$D$456:$AC$456)</f>
        <v>21575.4354001554</v>
      </c>
      <c r="W461" s="60" t="n">
        <f aca="false">(1-Assumptions!$D$107)*SUMPRODUCT(($D$455:$AC$455=W$443)*$D$456:$AC$456)</f>
        <v>22133.3105330225</v>
      </c>
      <c r="X461" s="60" t="n">
        <f aca="false">(1-Assumptions!$D$107)*SUMPRODUCT(($D$455:$AC$455=X$443)*$D$456:$AC$456)</f>
        <v>27829.3517466978</v>
      </c>
      <c r="Y461" s="60" t="n">
        <f aca="false">(1-Assumptions!$D$107)*SUMPRODUCT(($D$455:$AC$455=Y$443)*$D$456:$AC$456)</f>
        <v>27922.3309355089</v>
      </c>
      <c r="Z461" s="60" t="n">
        <f aca="false">(1-Assumptions!$D$107)*SUMPRODUCT(($D$455:$AC$455=Z$443)*$D$456:$AC$456)</f>
        <v>28015.3101243201</v>
      </c>
      <c r="AA461" s="60" t="n">
        <f aca="false">(1-Assumptions!$D$107)*SUMPRODUCT(($D$455:$AC$455=AA$443)*$D$456:$AC$456)</f>
        <v>29135.9225292929</v>
      </c>
    </row>
    <row r="462" customFormat="false" ht="15" hidden="false" customHeight="false" outlineLevel="0" collapsed="false">
      <c r="A462" s="3" t="s">
        <v>572</v>
      </c>
      <c r="B462" s="3" t="s">
        <v>62</v>
      </c>
      <c r="C462" s="38" t="n">
        <f aca="false">0</f>
        <v>0</v>
      </c>
      <c r="D462" s="38" t="n">
        <f aca="false">D457</f>
        <v>9152.74592074592</v>
      </c>
      <c r="E462" s="38" t="n">
        <f aca="false">E457</f>
        <v>4991.10675990676</v>
      </c>
      <c r="F462" s="38" t="n">
        <f aca="false">F457</f>
        <v>6378.31981351981</v>
      </c>
      <c r="G462" s="38" t="n">
        <f aca="false">G457</f>
        <v>7865.64102564103</v>
      </c>
      <c r="H462" s="38" t="n">
        <f aca="false">H457</f>
        <v>9510.27505827506</v>
      </c>
      <c r="I462" s="38" t="n">
        <f aca="false">I457</f>
        <v>11183.5114219114</v>
      </c>
      <c r="J462" s="38" t="n">
        <f aca="false">J457</f>
        <v>12871.048951049</v>
      </c>
      <c r="K462" s="38" t="n">
        <f aca="false">K457</f>
        <v>14587.1888111888</v>
      </c>
      <c r="L462" s="38" t="n">
        <f aca="false">L457</f>
        <v>16660.8578088578</v>
      </c>
      <c r="M462" s="38" t="n">
        <f aca="false">M457</f>
        <v>22501.6354016354</v>
      </c>
      <c r="N462" s="38" t="n">
        <f aca="false">N457</f>
        <v>24332.1845857846</v>
      </c>
      <c r="O462" s="38" t="n">
        <f aca="false">O457</f>
        <v>25848.1081289081</v>
      </c>
      <c r="P462" s="38" t="n">
        <f aca="false">P457</f>
        <v>28117.4533910534</v>
      </c>
      <c r="Q462" s="38" t="n">
        <f aca="false">Q457</f>
        <v>29584.752971473</v>
      </c>
      <c r="R462" s="38" t="n">
        <f aca="false">R457</f>
        <v>30974.8262581862</v>
      </c>
      <c r="S462" s="38" t="n">
        <f aca="false">S457</f>
        <v>31978.7680763681</v>
      </c>
      <c r="T462" s="38" t="n">
        <f aca="false">T457</f>
        <v>32982.7098945499</v>
      </c>
      <c r="U462" s="38" t="n">
        <f aca="false">U457</f>
        <v>33986.6517127317</v>
      </c>
      <c r="V462" s="38" t="n">
        <f aca="false">V457</f>
        <v>32350.0072372072</v>
      </c>
      <c r="W462" s="38" t="n">
        <f aca="false">W457</f>
        <v>33208.6827616827</v>
      </c>
      <c r="X462" s="38" t="n">
        <f aca="false">X457</f>
        <v>34067.3582861583</v>
      </c>
      <c r="Y462" s="38" t="n">
        <f aca="false">Y457</f>
        <v>42834.6448856699</v>
      </c>
      <c r="Z462" s="38" t="n">
        <f aca="false">Z457</f>
        <v>42977.7574730825</v>
      </c>
      <c r="AA462" s="38" t="n">
        <f aca="false">AA457</f>
        <v>43120.8700604951</v>
      </c>
    </row>
    <row r="463" customFormat="false" ht="15" hidden="false" customHeight="false" outlineLevel="0" collapsed="false">
      <c r="A463" s="9" t="s">
        <v>573</v>
      </c>
      <c r="B463" s="3" t="s">
        <v>62</v>
      </c>
      <c r="C463" s="29" t="n">
        <f aca="false">C460+C461+C462</f>
        <v>7871.25407925408</v>
      </c>
      <c r="D463" s="29" t="n">
        <f aca="false">D460+D461+D462</f>
        <v>13445.0391608392</v>
      </c>
      <c r="E463" s="29" t="n">
        <f aca="false">E460+E461+E462</f>
        <v>10476.3869463869</v>
      </c>
      <c r="F463" s="29" t="n">
        <f aca="false">F460+F461+F462</f>
        <v>13142.6787878788</v>
      </c>
      <c r="G463" s="29" t="n">
        <f aca="false">G460+G461+G462</f>
        <v>16044.365967366</v>
      </c>
      <c r="H463" s="29" t="n">
        <f aca="false">H460+H461+H462</f>
        <v>22448.648951049</v>
      </c>
      <c r="I463" s="29" t="n">
        <f aca="false">I460+I461+I462</f>
        <v>22695.2205128205</v>
      </c>
      <c r="J463" s="29" t="n">
        <f aca="false">J460+J461+J462</f>
        <v>25950.8594405594</v>
      </c>
      <c r="K463" s="29" t="n">
        <f aca="false">K460+K461+K462</f>
        <v>30422.2310578311</v>
      </c>
      <c r="L463" s="29" t="n">
        <f aca="false">L460+L461+L462</f>
        <v>36484.2754297554</v>
      </c>
      <c r="M463" s="29" t="n">
        <f aca="false">M460+M461+M462</f>
        <v>43818.1315306915</v>
      </c>
      <c r="N463" s="29" t="n">
        <f aca="false">N460+N461+N462</f>
        <v>47146.7373226773</v>
      </c>
      <c r="O463" s="29" t="n">
        <f aca="false">O460+O461+O462</f>
        <v>50407.3461970622</v>
      </c>
      <c r="P463" s="29" t="n">
        <f aca="false">P460+P461+P462</f>
        <v>53918.6277668998</v>
      </c>
      <c r="Q463" s="29" t="n">
        <f aca="false">Q460+Q461+Q462</f>
        <v>56481.7535011655</v>
      </c>
      <c r="R463" s="29" t="n">
        <f aca="false">R460+R461+R462</f>
        <v>58735.2049696969</v>
      </c>
      <c r="S463" s="29" t="n">
        <f aca="false">S460+S461+S462</f>
        <v>60602.5249696969</v>
      </c>
      <c r="T463" s="29" t="n">
        <f aca="false">T460+T461+T462</f>
        <v>62449.9208578088</v>
      </c>
      <c r="U463" s="29" t="n">
        <f aca="false">U460+U461+U462</f>
        <v>64250.8271515151</v>
      </c>
      <c r="V463" s="29" t="n">
        <f aca="false">V460+V461+V462</f>
        <v>63411.1471515151</v>
      </c>
      <c r="W463" s="29" t="n">
        <f aca="false">W460+W461+W462</f>
        <v>67268.8583290043</v>
      </c>
      <c r="X463" s="29" t="n">
        <f aca="false">X460+X461+X462</f>
        <v>73863.4232909313</v>
      </c>
      <c r="Y463" s="29" t="n">
        <f aca="false">Y460+Y461+Y462</f>
        <v>82763.5373030303</v>
      </c>
      <c r="Z463" s="29" t="n">
        <f aca="false">Z460+Z461+Z462</f>
        <v>83479.8915385281</v>
      </c>
      <c r="AA463" s="29" t="n">
        <f aca="false">AA460+AA461+AA462</f>
        <v>84743.6165309135</v>
      </c>
    </row>
    <row r="464" customFormat="false" ht="15" hidden="false" customHeight="false" outlineLevel="0" collapsed="false">
      <c r="A464" s="3" t="s">
        <v>574</v>
      </c>
      <c r="B464" s="3" t="s">
        <v>62</v>
      </c>
      <c r="C464" s="38" t="n">
        <f aca="false">0</f>
        <v>0</v>
      </c>
      <c r="D464" s="38" t="n">
        <f aca="false">D293-D295-D296-D297-D298-D299</f>
        <v>2325</v>
      </c>
      <c r="E464" s="38" t="n">
        <f aca="false">E293-E295-E296-E297-E298-E299</f>
        <v>3720</v>
      </c>
      <c r="F464" s="38" t="n">
        <f aca="false">F293-F295-F296-F297-F298-F299</f>
        <v>5580</v>
      </c>
      <c r="G464" s="38" t="n">
        <f aca="false">G293-G295-G296-G297-G298-G299</f>
        <v>9430</v>
      </c>
      <c r="H464" s="38" t="n">
        <f aca="false">H293-H295-H296-H297-H298-H299</f>
        <v>12259</v>
      </c>
      <c r="I464" s="38" t="n">
        <f aca="false">I293-I295-I296-I297-I298-I299</f>
        <v>15465.2</v>
      </c>
      <c r="J464" s="38" t="n">
        <f aca="false">J293-J295-J296-J297-J298-J299</f>
        <v>21800</v>
      </c>
      <c r="K464" s="38" t="n">
        <f aca="false">K293-K295-K296-K297-K298-K299</f>
        <v>26160</v>
      </c>
      <c r="L464" s="38" t="n">
        <f aca="false">L293-L295-L296-L297-L298-L299</f>
        <v>30520</v>
      </c>
      <c r="M464" s="38" t="n">
        <f aca="false">M293-M295-M296-M297-M298-M299</f>
        <v>34880</v>
      </c>
      <c r="N464" s="38" t="n">
        <f aca="false">N293-N295-N296-N297-N298-N299</f>
        <v>39240</v>
      </c>
      <c r="O464" s="38" t="n">
        <f aca="false">O293-O295-O296-O297-O298-O299</f>
        <v>44690</v>
      </c>
      <c r="P464" s="38" t="n">
        <f aca="false">P293-P295-P296-P297-P298-P299</f>
        <v>52830</v>
      </c>
      <c r="Q464" s="38" t="n">
        <f aca="false">Q293-Q295-Q296-Q297-Q298-Q299</f>
        <v>57526</v>
      </c>
      <c r="R464" s="38" t="n">
        <f aca="false">R293-R295-R296-R297-R298-R299</f>
        <v>61048</v>
      </c>
      <c r="S464" s="38" t="n">
        <f aca="false">S293-S295-S296-S297-S298-S299</f>
        <v>64570</v>
      </c>
      <c r="T464" s="38" t="n">
        <f aca="false">T293-T295-T296-T297-T298-T299</f>
        <v>68092</v>
      </c>
      <c r="U464" s="38" t="n">
        <f aca="false">U293-U295-U296-U297-U298-U299</f>
        <v>71614</v>
      </c>
      <c r="V464" s="38" t="n">
        <f aca="false">V293-V295-V296-V297-V298-V299</f>
        <v>74103.75</v>
      </c>
      <c r="W464" s="38" t="n">
        <f aca="false">W293-W295-W296-W297-W298-W299</f>
        <v>76456.25</v>
      </c>
      <c r="X464" s="38" t="n">
        <f aca="false">X293-X295-X296-X297-X298-X299</f>
        <v>78808.75</v>
      </c>
      <c r="Y464" s="38" t="n">
        <f aca="false">Y293-Y295-Y296-Y297-Y298-Y299</f>
        <v>81161.25</v>
      </c>
      <c r="Z464" s="38" t="n">
        <f aca="false">Z293-Z295-Z296-Z297-Z298-Z299</f>
        <v>83513.75</v>
      </c>
      <c r="AA464" s="38" t="n">
        <f aca="false">AA293-AA295-AA296-AA297-AA298-AA299</f>
        <v>85866.25</v>
      </c>
    </row>
    <row r="465" customFormat="false" ht="15" hidden="false" customHeight="false" outlineLevel="0" collapsed="false">
      <c r="A465" s="3" t="s">
        <v>575</v>
      </c>
      <c r="B465" s="3" t="s">
        <v>62</v>
      </c>
      <c r="C465" s="38" t="n">
        <f aca="false">0</f>
        <v>0</v>
      </c>
      <c r="D465" s="38" t="n">
        <f aca="false">D320-D323-D324-D325-D326+D328-D331-D332-D333-D334</f>
        <v>0</v>
      </c>
      <c r="E465" s="38" t="n">
        <f aca="false">E320-E323-E324-E325-E326+E328-E331-E332-E333-E334</f>
        <v>0</v>
      </c>
      <c r="F465" s="38" t="n">
        <f aca="false">F320-F323-F324-F325-F326+F328-F331-F332-F333-F334</f>
        <v>0</v>
      </c>
      <c r="G465" s="38" t="n">
        <f aca="false">G320-G323-G324-G325-G326+G328-G331-G332-G333-G334</f>
        <v>0</v>
      </c>
      <c r="H465" s="38" t="n">
        <f aca="false">H320-H323-H324-H325-H326+H328-H331-H332-H333-H334</f>
        <v>0</v>
      </c>
      <c r="I465" s="38" t="n">
        <f aca="false">I320-I323-I324-I325-I326+I328-I331-I332-I333-I334</f>
        <v>0</v>
      </c>
      <c r="J465" s="38" t="n">
        <f aca="false">J320-J323-J324-J325-J326+J328-J331-J332-J333-J334</f>
        <v>0</v>
      </c>
      <c r="K465" s="38" t="n">
        <f aca="false">K320-K323-K324-K325-K326+K328-K331-K332-K333-K334</f>
        <v>0</v>
      </c>
      <c r="L465" s="38" t="n">
        <f aca="false">L320-L323-L324-L325-L326+L328-L331-L332-L333-L334</f>
        <v>0</v>
      </c>
      <c r="M465" s="38" t="n">
        <f aca="false">M320-M323-M324-M325-M326+M328-M331-M332-M333-M334</f>
        <v>0</v>
      </c>
      <c r="N465" s="38" t="n">
        <f aca="false">N320-N323-N324-N325-N326+N328-N331-N332-N333-N334</f>
        <v>0</v>
      </c>
      <c r="O465" s="38" t="n">
        <f aca="false">O320-O323-O324-O325-O326+O328-O331-O332-O333-O334</f>
        <v>0</v>
      </c>
      <c r="P465" s="38" t="n">
        <f aca="false">P320-P323-P324-P325-P326+P328-P331-P332-P333-P334</f>
        <v>12215.0984126984</v>
      </c>
      <c r="Q465" s="38" t="n">
        <f aca="false">Q320-Q323-Q324-Q325-Q326+Q328-Q331-Q332-Q333-Q334</f>
        <v>12641.9784126984</v>
      </c>
      <c r="R465" s="38" t="n">
        <f aca="false">R320-R323-R324-R325-R326+R328-R331-R332-R333-R334</f>
        <v>12962.1384126984</v>
      </c>
      <c r="S465" s="38" t="n">
        <f aca="false">S320-S323-S324-S325-S326+S328-S331-S332-S333-S334</f>
        <v>13282.2984126984</v>
      </c>
      <c r="T465" s="38" t="n">
        <f aca="false">T320-T323-T324-T325-T326+T328-T331-T332-T333-T334</f>
        <v>13602.4584126984</v>
      </c>
      <c r="U465" s="38" t="n">
        <f aca="false">U320-U323-U324-U325-U326+U328-U331-U332-U333-U334</f>
        <v>13922.6184126984</v>
      </c>
      <c r="V465" s="38" t="n">
        <f aca="false">V320-V323-V324-V325-V326+V328-V331-V332-V333-V334</f>
        <v>14136.0584126984</v>
      </c>
      <c r="W465" s="38" t="n">
        <f aca="false">W320-W323-W324-W325-W326+W328-W331-W332-W333-W334</f>
        <v>14349.4984126984</v>
      </c>
      <c r="X465" s="38" t="n">
        <f aca="false">X320-X323-X324-X325-X326+X328-X331-X332-X333-X334</f>
        <v>14562.9384126984</v>
      </c>
      <c r="Y465" s="38" t="n">
        <f aca="false">Y320-Y323-Y324-Y325-Y326+Y328-Y331-Y332-Y333-Y334</f>
        <v>14776.3784126984</v>
      </c>
      <c r="Z465" s="38" t="n">
        <f aca="false">Z320-Z323-Z324-Z325-Z326+Z328-Z331-Z332-Z333-Z334</f>
        <v>14989.8184126984</v>
      </c>
      <c r="AA465" s="38" t="n">
        <f aca="false">AA320-AA323-AA324-AA325-AA326+AA328-AA331-AA332-AA333-AA334</f>
        <v>15203.2584126984</v>
      </c>
    </row>
    <row r="466" customFormat="false" ht="15" hidden="false" customHeight="false" outlineLevel="0" collapsed="false">
      <c r="A466" s="3" t="s">
        <v>576</v>
      </c>
      <c r="B466" s="3" t="s">
        <v>62</v>
      </c>
      <c r="C466" s="60" t="n">
        <f aca="false">(C464+C465)*Assumptions!$D$108/30</f>
        <v>0</v>
      </c>
      <c r="D466" s="60" t="n">
        <f aca="false">(D464+D465)*Assumptions!$D$108/30</f>
        <v>1085</v>
      </c>
      <c r="E466" s="60" t="n">
        <f aca="false">(E464+E465)*Assumptions!$D$108/30</f>
        <v>1736</v>
      </c>
      <c r="F466" s="60" t="n">
        <f aca="false">(F464+F465)*Assumptions!$D$108/30</f>
        <v>2604</v>
      </c>
      <c r="G466" s="60" t="n">
        <f aca="false">(G464+G465)*Assumptions!$D$108/30</f>
        <v>4400.66666666667</v>
      </c>
      <c r="H466" s="60" t="n">
        <f aca="false">(H464+H465)*Assumptions!$D$108/30</f>
        <v>5720.86666666667</v>
      </c>
      <c r="I466" s="60" t="n">
        <f aca="false">(I464+I465)*Assumptions!$D$108/30</f>
        <v>7217.09333333333</v>
      </c>
      <c r="J466" s="60" t="n">
        <f aca="false">(J464+J465)*Assumptions!$D$108/30</f>
        <v>10173.3333333333</v>
      </c>
      <c r="K466" s="60" t="n">
        <f aca="false">(K464+K465)*Assumptions!$D$108/30</f>
        <v>12208</v>
      </c>
      <c r="L466" s="60" t="n">
        <f aca="false">(L464+L465)*Assumptions!$D$108/30</f>
        <v>14242.6666666667</v>
      </c>
      <c r="M466" s="60" t="n">
        <f aca="false">(M464+M465)*Assumptions!$D$108/30</f>
        <v>16277.3333333333</v>
      </c>
      <c r="N466" s="60" t="n">
        <f aca="false">(N464+N465)*Assumptions!$D$108/30</f>
        <v>18312</v>
      </c>
      <c r="O466" s="60" t="n">
        <f aca="false">(O464+O465)*Assumptions!$D$108/30</f>
        <v>20855.3333333333</v>
      </c>
      <c r="P466" s="60" t="n">
        <f aca="false">(P464+P465)*Assumptions!$D$108/30</f>
        <v>30354.3792592593</v>
      </c>
      <c r="Q466" s="60" t="n">
        <f aca="false">(Q464+Q465)*Assumptions!$D$108/30</f>
        <v>32745.0565925926</v>
      </c>
      <c r="R466" s="60" t="n">
        <f aca="false">(R464+R465)*Assumptions!$D$108/30</f>
        <v>34538.0645925926</v>
      </c>
      <c r="S466" s="60" t="n">
        <f aca="false">(S464+S465)*Assumptions!$D$108/30</f>
        <v>36331.0725925926</v>
      </c>
      <c r="T466" s="60" t="n">
        <f aca="false">(T464+T465)*Assumptions!$D$108/30</f>
        <v>38124.0805925926</v>
      </c>
      <c r="U466" s="60" t="n">
        <f aca="false">(U464+U465)*Assumptions!$D$108/30</f>
        <v>39917.0885925926</v>
      </c>
      <c r="V466" s="60" t="n">
        <f aca="false">(V464+V465)*Assumptions!$D$108/30</f>
        <v>41178.5772592593</v>
      </c>
      <c r="W466" s="60" t="n">
        <f aca="false">(W464+W465)*Assumptions!$D$108/30</f>
        <v>42376.0159259259</v>
      </c>
      <c r="X466" s="60" t="n">
        <f aca="false">(X464+X465)*Assumptions!$D$108/30</f>
        <v>43573.4545925926</v>
      </c>
      <c r="Y466" s="60" t="n">
        <f aca="false">(Y464+Y465)*Assumptions!$D$108/30</f>
        <v>44770.8932592593</v>
      </c>
      <c r="Z466" s="60" t="n">
        <f aca="false">(Z464+Z465)*Assumptions!$D$108/30</f>
        <v>45968.3319259259</v>
      </c>
      <c r="AA466" s="60" t="n">
        <f aca="false">(AA464+AA465)*Assumptions!$D$108/30</f>
        <v>47165.7705925926</v>
      </c>
    </row>
    <row r="467" customFormat="false" ht="15" hidden="false" customHeight="false" outlineLevel="0" collapsed="false">
      <c r="A467" s="9" t="s">
        <v>577</v>
      </c>
      <c r="B467" s="3" t="s">
        <v>62</v>
      </c>
      <c r="C467" s="29" t="n">
        <f aca="false">0</f>
        <v>0</v>
      </c>
      <c r="D467" s="29" t="n">
        <f aca="false">D464+D465-D466+C466</f>
        <v>1240</v>
      </c>
      <c r="E467" s="29" t="n">
        <f aca="false">E464+E465-E466+D466</f>
        <v>3069</v>
      </c>
      <c r="F467" s="29" t="n">
        <f aca="false">F464+F465-F466+E466</f>
        <v>4712</v>
      </c>
      <c r="G467" s="29" t="n">
        <f aca="false">G464+G465-G466+F466</f>
        <v>7633.33333333333</v>
      </c>
      <c r="H467" s="29" t="n">
        <f aca="false">H464+H465-H466+G466</f>
        <v>10938.8</v>
      </c>
      <c r="I467" s="29" t="n">
        <f aca="false">I464+I465-I466+H466</f>
        <v>13968.9733333333</v>
      </c>
      <c r="J467" s="29" t="n">
        <f aca="false">J464+J465-J466+I466</f>
        <v>18843.76</v>
      </c>
      <c r="K467" s="29" t="n">
        <f aca="false">K464+K465-K466+J466</f>
        <v>24125.3333333333</v>
      </c>
      <c r="L467" s="29" t="n">
        <f aca="false">L464+L465-L466+K466</f>
        <v>28485.3333333333</v>
      </c>
      <c r="M467" s="29" t="n">
        <f aca="false">M464+M465-M466+L466</f>
        <v>32845.3333333333</v>
      </c>
      <c r="N467" s="29" t="n">
        <f aca="false">N464+N465-N466+M466</f>
        <v>37205.3333333333</v>
      </c>
      <c r="O467" s="29" t="n">
        <f aca="false">O464+O465-O466+N466</f>
        <v>42146.6666666667</v>
      </c>
      <c r="P467" s="29" t="n">
        <f aca="false">P464+P465-P466+O466</f>
        <v>55546.0524867725</v>
      </c>
      <c r="Q467" s="29" t="n">
        <f aca="false">Q464+Q465-Q466+P466</f>
        <v>67777.3010793651</v>
      </c>
      <c r="R467" s="29" t="n">
        <f aca="false">R464+R465-R466+Q466</f>
        <v>72217.1304126984</v>
      </c>
      <c r="S467" s="29" t="n">
        <f aca="false">S464+S465-S466+R466</f>
        <v>76059.2904126984</v>
      </c>
      <c r="T467" s="29" t="n">
        <f aca="false">T464+T465-T466+S466</f>
        <v>79901.4504126984</v>
      </c>
      <c r="U467" s="29" t="n">
        <f aca="false">U464+U465-U466+T466</f>
        <v>83743.6104126984</v>
      </c>
      <c r="V467" s="29" t="n">
        <f aca="false">V464+V465-V466+U466</f>
        <v>86978.3197460318</v>
      </c>
      <c r="W467" s="29" t="n">
        <f aca="false">W464+W465-W466+V466</f>
        <v>89608.3097460318</v>
      </c>
      <c r="X467" s="29" t="n">
        <f aca="false">X464+X465-X466+W466</f>
        <v>92174.2497460318</v>
      </c>
      <c r="Y467" s="29" t="n">
        <f aca="false">Y464+Y465-Y466+X466</f>
        <v>94740.1897460317</v>
      </c>
      <c r="Z467" s="29" t="n">
        <f aca="false">Z464+Z465-Z466+Y466</f>
        <v>97306.1297460317</v>
      </c>
      <c r="AA467" s="29" t="n">
        <f aca="false">AA464+AA465-AA466+Z466</f>
        <v>99872.0697460318</v>
      </c>
    </row>
    <row r="468" customFormat="false" ht="15" hidden="false" customHeight="false" outlineLevel="0" collapsed="false">
      <c r="A468" s="3" t="s">
        <v>578</v>
      </c>
      <c r="B468" s="3" t="s">
        <v>62</v>
      </c>
      <c r="C468" s="38" t="n">
        <f aca="false">0</f>
        <v>0</v>
      </c>
      <c r="D468" s="38" t="n">
        <f aca="false">D301+D302+D303+D304</f>
        <v>10389.99</v>
      </c>
      <c r="E468" s="38" t="n">
        <f aca="false">E301+E302+E303+E304</f>
        <v>889.99</v>
      </c>
      <c r="F468" s="38" t="n">
        <f aca="false">F301+F302+F303+F304</f>
        <v>889.99</v>
      </c>
      <c r="G468" s="38" t="n">
        <f aca="false">G301+G302+G303+G304</f>
        <v>889.99</v>
      </c>
      <c r="H468" s="38" t="n">
        <f aca="false">H301+H302+H303+H304</f>
        <v>889.99</v>
      </c>
      <c r="I468" s="38" t="n">
        <f aca="false">I301+I302+I303+I304</f>
        <v>889.99</v>
      </c>
      <c r="J468" s="38" t="n">
        <f aca="false">J301+J302+J303+J304</f>
        <v>889.99</v>
      </c>
      <c r="K468" s="38" t="n">
        <f aca="false">K301+K302+K303+K304</f>
        <v>889.99</v>
      </c>
      <c r="L468" s="38" t="n">
        <f aca="false">L301+L302+L303+L304</f>
        <v>889.99</v>
      </c>
      <c r="M468" s="38" t="n">
        <f aca="false">M301+M302+M303+M304</f>
        <v>889.99</v>
      </c>
      <c r="N468" s="38" t="n">
        <f aca="false">N301+N302+N303+N304</f>
        <v>889.99</v>
      </c>
      <c r="O468" s="38" t="n">
        <f aca="false">O301+O302+O303+O304</f>
        <v>889.99</v>
      </c>
      <c r="P468" s="38" t="n">
        <f aca="false">P301+P302+P303+P304</f>
        <v>889.99</v>
      </c>
      <c r="Q468" s="38" t="n">
        <f aca="false">Q301+Q302+Q303+Q304</f>
        <v>889.99</v>
      </c>
      <c r="R468" s="38" t="n">
        <f aca="false">R301+R302+R303+R304</f>
        <v>889.99</v>
      </c>
      <c r="S468" s="38" t="n">
        <f aca="false">S301+S302+S303+S304</f>
        <v>889.99</v>
      </c>
      <c r="T468" s="38" t="n">
        <f aca="false">T301+T302+T303+T304</f>
        <v>889.99</v>
      </c>
      <c r="U468" s="38" t="n">
        <f aca="false">U301+U302+U303+U304</f>
        <v>889.99</v>
      </c>
      <c r="V468" s="38" t="n">
        <f aca="false">V301+V302+V303+V304</f>
        <v>1966.65666666667</v>
      </c>
      <c r="W468" s="38" t="n">
        <f aca="false">W301+W302+W303+W304</f>
        <v>1966.65666666667</v>
      </c>
      <c r="X468" s="38" t="n">
        <f aca="false">X301+X302+X303+X304</f>
        <v>1966.65666666667</v>
      </c>
      <c r="Y468" s="38" t="n">
        <f aca="false">Y301+Y302+Y303+Y304</f>
        <v>1966.65666666667</v>
      </c>
      <c r="Z468" s="38" t="n">
        <f aca="false">Z301+Z302+Z303+Z304</f>
        <v>1966.65666666667</v>
      </c>
      <c r="AA468" s="38" t="n">
        <f aca="false">AA301+AA302+AA303+AA304</f>
        <v>1966.65666666667</v>
      </c>
    </row>
    <row r="469" customFormat="false" ht="15" hidden="false" customHeight="false" outlineLevel="0" collapsed="false">
      <c r="A469" s="9" t="s">
        <v>579</v>
      </c>
      <c r="B469" s="3" t="s">
        <v>62</v>
      </c>
      <c r="C469" s="29" t="n">
        <f aca="false">C463+C468</f>
        <v>7871.25407925408</v>
      </c>
      <c r="D469" s="29" t="n">
        <f aca="false">D463+D468</f>
        <v>23835.0291608392</v>
      </c>
      <c r="E469" s="29" t="n">
        <f aca="false">E463+E468</f>
        <v>11366.3769463869</v>
      </c>
      <c r="F469" s="29" t="n">
        <f aca="false">F463+F468</f>
        <v>14032.6687878788</v>
      </c>
      <c r="G469" s="29" t="n">
        <f aca="false">G463+G468</f>
        <v>16934.355967366</v>
      </c>
      <c r="H469" s="29" t="n">
        <f aca="false">H463+H468</f>
        <v>23338.638951049</v>
      </c>
      <c r="I469" s="29" t="n">
        <f aca="false">I463+I468</f>
        <v>23585.2105128205</v>
      </c>
      <c r="J469" s="29" t="n">
        <f aca="false">J463+J468</f>
        <v>26840.8494405594</v>
      </c>
      <c r="K469" s="29" t="n">
        <f aca="false">K463+K468</f>
        <v>31312.2210578311</v>
      </c>
      <c r="L469" s="29" t="n">
        <f aca="false">L463+L468</f>
        <v>37374.2654297554</v>
      </c>
      <c r="M469" s="29" t="n">
        <f aca="false">M463+M468</f>
        <v>44708.1215306915</v>
      </c>
      <c r="N469" s="29" t="n">
        <f aca="false">N463+N468</f>
        <v>48036.7273226773</v>
      </c>
      <c r="O469" s="29" t="n">
        <f aca="false">O463+O468</f>
        <v>51297.3361970622</v>
      </c>
      <c r="P469" s="29" t="n">
        <f aca="false">P463+P468</f>
        <v>54808.6177668998</v>
      </c>
      <c r="Q469" s="29" t="n">
        <f aca="false">Q463+Q468</f>
        <v>57371.7435011655</v>
      </c>
      <c r="R469" s="29" t="n">
        <f aca="false">R463+R468</f>
        <v>59625.1949696969</v>
      </c>
      <c r="S469" s="29" t="n">
        <f aca="false">S463+S468</f>
        <v>61492.5149696969</v>
      </c>
      <c r="T469" s="29" t="n">
        <f aca="false">T463+T468</f>
        <v>63339.9108578088</v>
      </c>
      <c r="U469" s="29" t="n">
        <f aca="false">U463+U468</f>
        <v>65140.8171515151</v>
      </c>
      <c r="V469" s="29" t="n">
        <f aca="false">V463+V468</f>
        <v>65377.8038181818</v>
      </c>
      <c r="W469" s="29" t="n">
        <f aca="false">W463+W468</f>
        <v>69235.514995671</v>
      </c>
      <c r="X469" s="29" t="n">
        <f aca="false">X463+X468</f>
        <v>75830.079957598</v>
      </c>
      <c r="Y469" s="29" t="n">
        <f aca="false">Y463+Y468</f>
        <v>84730.193969697</v>
      </c>
      <c r="Z469" s="29" t="n">
        <f aca="false">Z463+Z468</f>
        <v>85446.5482051948</v>
      </c>
      <c r="AA469" s="29" t="n">
        <f aca="false">AA463+AA468</f>
        <v>86710.2731975802</v>
      </c>
    </row>
    <row r="470" customFormat="false" ht="15" hidden="false" customHeight="false" outlineLevel="0" collapsed="false">
      <c r="A470" s="9" t="s">
        <v>580</v>
      </c>
      <c r="B470" s="3" t="s">
        <v>62</v>
      </c>
      <c r="C470" s="29" t="n">
        <f aca="false">C467-C469</f>
        <v>-7871.25407925408</v>
      </c>
      <c r="D470" s="29" t="n">
        <f aca="false">D467-D469</f>
        <v>-22595.0291608392</v>
      </c>
      <c r="E470" s="29" t="n">
        <f aca="false">E467-E469</f>
        <v>-8297.37694638695</v>
      </c>
      <c r="F470" s="29" t="n">
        <f aca="false">F467-F469</f>
        <v>-9320.66878787879</v>
      </c>
      <c r="G470" s="29" t="n">
        <f aca="false">G467-G469</f>
        <v>-9301.02263403264</v>
      </c>
      <c r="H470" s="29" t="n">
        <f aca="false">H467-H469</f>
        <v>-12399.838951049</v>
      </c>
      <c r="I470" s="29" t="n">
        <f aca="false">I467-I469</f>
        <v>-9616.23717948719</v>
      </c>
      <c r="J470" s="29" t="n">
        <f aca="false">J467-J469</f>
        <v>-7997.08944055944</v>
      </c>
      <c r="K470" s="29" t="n">
        <f aca="false">K467-K469</f>
        <v>-7186.88772449773</v>
      </c>
      <c r="L470" s="29" t="n">
        <f aca="false">L467-L469</f>
        <v>-8888.9320964221</v>
      </c>
      <c r="M470" s="29" t="n">
        <f aca="false">M467-M469</f>
        <v>-11862.7881973582</v>
      </c>
      <c r="N470" s="29" t="n">
        <f aca="false">N467-N469</f>
        <v>-10831.393989344</v>
      </c>
      <c r="O470" s="29" t="n">
        <f aca="false">O467-O469</f>
        <v>-9150.66953039553</v>
      </c>
      <c r="P470" s="29" t="n">
        <f aca="false">P467-P469</f>
        <v>737.434719872726</v>
      </c>
      <c r="Q470" s="29" t="n">
        <f aca="false">Q467-Q469</f>
        <v>10405.5575781996</v>
      </c>
      <c r="R470" s="29" t="n">
        <f aca="false">R467-R469</f>
        <v>12591.9354430015</v>
      </c>
      <c r="S470" s="29" t="n">
        <f aca="false">S467-S469</f>
        <v>14566.7754430015</v>
      </c>
      <c r="T470" s="29" t="n">
        <f aca="false">T467-T469</f>
        <v>16561.5395548896</v>
      </c>
      <c r="U470" s="29" t="n">
        <f aca="false">U467-U469</f>
        <v>18602.7932611833</v>
      </c>
      <c r="V470" s="29" t="n">
        <f aca="false">V467-V469</f>
        <v>21600.51592785</v>
      </c>
      <c r="W470" s="29" t="n">
        <f aca="false">W467-W469</f>
        <v>20372.7947503608</v>
      </c>
      <c r="X470" s="29" t="n">
        <f aca="false">X467-X469</f>
        <v>16344.1697884338</v>
      </c>
      <c r="Y470" s="29" t="n">
        <f aca="false">Y467-Y469</f>
        <v>10009.9957763348</v>
      </c>
      <c r="Z470" s="29" t="n">
        <f aca="false">Z467-Z469</f>
        <v>11859.581540837</v>
      </c>
      <c r="AA470" s="29" t="n">
        <f aca="false">AA467-AA469</f>
        <v>13161.7965484515</v>
      </c>
    </row>
    <row r="471" customFormat="false" ht="15" hidden="false" customHeight="false" outlineLevel="0" collapsed="false">
      <c r="A471" s="9" t="s">
        <v>581</v>
      </c>
      <c r="B471" s="3" t="s">
        <v>62</v>
      </c>
      <c r="C471" s="61" t="n">
        <f aca="false">Assumptions!$D$106+C470</f>
        <v>31128.7459207459</v>
      </c>
      <c r="D471" s="29" t="n">
        <f aca="false">C471+D470</f>
        <v>8533.71675990675</v>
      </c>
      <c r="E471" s="29" t="n">
        <f aca="false">D471+E470</f>
        <v>236.339813519809</v>
      </c>
      <c r="F471" s="29" t="n">
        <f aca="false">E471+F470</f>
        <v>-9084.32897435898</v>
      </c>
      <c r="G471" s="29" t="n">
        <f aca="false">F471+G470</f>
        <v>-18385.3516083916</v>
      </c>
      <c r="H471" s="29" t="n">
        <f aca="false">G471+H470</f>
        <v>-30785.1905594406</v>
      </c>
      <c r="I471" s="29" t="n">
        <f aca="false">H471+I470</f>
        <v>-40401.4277389278</v>
      </c>
      <c r="J471" s="29" t="n">
        <f aca="false">I471+J470</f>
        <v>-48398.5171794872</v>
      </c>
      <c r="K471" s="29" t="n">
        <f aca="false">J471+K470</f>
        <v>-55585.4049039849</v>
      </c>
      <c r="L471" s="29" t="n">
        <f aca="false">K471+L470</f>
        <v>-64474.337000407</v>
      </c>
      <c r="M471" s="29" t="n">
        <f aca="false">L471+M470</f>
        <v>-76337.1251977652</v>
      </c>
      <c r="N471" s="29" t="n">
        <f aca="false">M471+N470</f>
        <v>-87168.5191871092</v>
      </c>
      <c r="O471" s="29" t="n">
        <f aca="false">N471+O470</f>
        <v>-96319.1887175048</v>
      </c>
      <c r="P471" s="29" t="n">
        <f aca="false">O471+P470</f>
        <v>-95581.753997632</v>
      </c>
      <c r="Q471" s="29" t="n">
        <f aca="false">P471+Q470</f>
        <v>-85176.1964194324</v>
      </c>
      <c r="R471" s="29" t="n">
        <f aca="false">Q471+R470</f>
        <v>-72584.260976431</v>
      </c>
      <c r="S471" s="29" t="n">
        <f aca="false">R471+S470</f>
        <v>-58017.4855334295</v>
      </c>
      <c r="T471" s="29" t="n">
        <f aca="false">S471+T470</f>
        <v>-41455.9459785399</v>
      </c>
      <c r="U471" s="29" t="n">
        <f aca="false">T471+U470</f>
        <v>-22853.1527173566</v>
      </c>
      <c r="V471" s="29" t="n">
        <f aca="false">U471+V470</f>
        <v>-1252.63678950666</v>
      </c>
      <c r="W471" s="29" t="n">
        <f aca="false">V471+W470</f>
        <v>19120.1579608541</v>
      </c>
      <c r="X471" s="29" t="n">
        <f aca="false">W471+X470</f>
        <v>35464.3277492879</v>
      </c>
      <c r="Y471" s="29" t="n">
        <f aca="false">X471+Y470</f>
        <v>45474.3235256227</v>
      </c>
      <c r="Z471" s="29" t="n">
        <f aca="false">Y471+Z470</f>
        <v>57333.9050664597</v>
      </c>
      <c r="AA471" s="29" t="n">
        <f aca="false">Z471+AA470</f>
        <v>70495.7016149112</v>
      </c>
    </row>
    <row r="472" customFormat="false" ht="15" hidden="false" customHeight="false" outlineLevel="0" collapsed="false">
      <c r="A472" s="3" t="s">
        <v>582</v>
      </c>
      <c r="B472" s="3" t="s">
        <v>471</v>
      </c>
      <c r="C472" s="30" t="n">
        <f aca="false">IF(C471&lt;0,1,0)</f>
        <v>0</v>
      </c>
      <c r="D472" s="30" t="n">
        <f aca="false">IF(D471&lt;0,1,0)</f>
        <v>0</v>
      </c>
      <c r="E472" s="30" t="n">
        <f aca="false">IF(E471&lt;0,1,0)</f>
        <v>0</v>
      </c>
      <c r="F472" s="30" t="n">
        <f aca="false">IF(F471&lt;0,1,0)</f>
        <v>1</v>
      </c>
      <c r="G472" s="30" t="n">
        <f aca="false">IF(G471&lt;0,1,0)</f>
        <v>1</v>
      </c>
      <c r="H472" s="30" t="n">
        <f aca="false">IF(H471&lt;0,1,0)</f>
        <v>1</v>
      </c>
      <c r="I472" s="30" t="n">
        <f aca="false">IF(I471&lt;0,1,0)</f>
        <v>1</v>
      </c>
      <c r="J472" s="30" t="n">
        <f aca="false">IF(J471&lt;0,1,0)</f>
        <v>1</v>
      </c>
      <c r="K472" s="30" t="n">
        <f aca="false">IF(K471&lt;0,1,0)</f>
        <v>1</v>
      </c>
      <c r="L472" s="30" t="n">
        <f aca="false">IF(L471&lt;0,1,0)</f>
        <v>1</v>
      </c>
      <c r="M472" s="30" t="n">
        <f aca="false">IF(M471&lt;0,1,0)</f>
        <v>1</v>
      </c>
      <c r="N472" s="30" t="n">
        <f aca="false">IF(N471&lt;0,1,0)</f>
        <v>1</v>
      </c>
      <c r="O472" s="30" t="n">
        <f aca="false">IF(O471&lt;0,1,0)</f>
        <v>1</v>
      </c>
      <c r="P472" s="30" t="n">
        <f aca="false">IF(P471&lt;0,1,0)</f>
        <v>1</v>
      </c>
      <c r="Q472" s="30" t="n">
        <f aca="false">IF(Q471&lt;0,1,0)</f>
        <v>1</v>
      </c>
      <c r="R472" s="30" t="n">
        <f aca="false">IF(R471&lt;0,1,0)</f>
        <v>1</v>
      </c>
      <c r="S472" s="30" t="n">
        <f aca="false">IF(S471&lt;0,1,0)</f>
        <v>1</v>
      </c>
      <c r="T472" s="30" t="n">
        <f aca="false">IF(T471&lt;0,1,0)</f>
        <v>1</v>
      </c>
      <c r="U472" s="30" t="n">
        <f aca="false">IF(U471&lt;0,1,0)</f>
        <v>1</v>
      </c>
      <c r="V472" s="30" t="n">
        <f aca="false">IF(V471&lt;0,1,0)</f>
        <v>1</v>
      </c>
      <c r="W472" s="30" t="n">
        <f aca="false">IF(W471&lt;0,1,0)</f>
        <v>0</v>
      </c>
      <c r="X472" s="30" t="n">
        <f aca="false">IF(X471&lt;0,1,0)</f>
        <v>0</v>
      </c>
      <c r="Y472" s="30" t="n">
        <f aca="false">IF(Y471&lt;0,1,0)</f>
        <v>0</v>
      </c>
      <c r="Z472" s="30" t="n">
        <f aca="false">IF(Z471&lt;0,1,0)</f>
        <v>0</v>
      </c>
      <c r="AA472" s="30" t="n">
        <f aca="false">IF(AA471&lt;0,1,0)</f>
        <v>0</v>
      </c>
    </row>
    <row r="474" customFormat="false" ht="15" hidden="false" customHeight="false" outlineLevel="0" collapsed="false">
      <c r="A474" s="9" t="s">
        <v>583</v>
      </c>
    </row>
    <row r="475" customFormat="false" ht="15" hidden="false" customHeight="false" outlineLevel="0" collapsed="false">
      <c r="A475" s="3" t="s">
        <v>584</v>
      </c>
      <c r="B475" s="3" t="s">
        <v>62</v>
      </c>
      <c r="C475" s="38" t="n">
        <f aca="false">0</f>
        <v>0</v>
      </c>
      <c r="D475" s="38" t="n">
        <f aca="false">D452*D446</f>
        <v>14630</v>
      </c>
      <c r="E475" s="38" t="n">
        <f aca="false">E452*E446</f>
        <v>20083</v>
      </c>
      <c r="F475" s="38" t="n">
        <f aca="false">F452*F446</f>
        <v>26201</v>
      </c>
      <c r="G475" s="38" t="n">
        <f aca="false">G452*G446</f>
        <v>32851</v>
      </c>
      <c r="H475" s="38" t="n">
        <f aca="false">H452*H446</f>
        <v>40166</v>
      </c>
      <c r="I475" s="38" t="n">
        <f aca="false">I452*I446</f>
        <v>47880</v>
      </c>
      <c r="J475" s="38" t="n">
        <f aca="false">J452*J446</f>
        <v>55860</v>
      </c>
      <c r="K475" s="38" t="n">
        <f aca="false">K452*K446</f>
        <v>63840</v>
      </c>
      <c r="L475" s="38" t="n">
        <f aca="false">L452*L446</f>
        <v>72485</v>
      </c>
      <c r="M475" s="38" t="n">
        <f aca="false">M452*M446</f>
        <v>88801.7777777778</v>
      </c>
      <c r="N475" s="38" t="n">
        <f aca="false">N452*N446</f>
        <v>105331.355555556</v>
      </c>
      <c r="O475" s="38" t="n">
        <f aca="false">O452*O446</f>
        <v>120690.533333333</v>
      </c>
      <c r="P475" s="38" t="n">
        <f aca="false">P452*P446</f>
        <v>127872.533333333</v>
      </c>
      <c r="Q475" s="38" t="n">
        <f aca="false">Q452*Q446</f>
        <v>134336.333333333</v>
      </c>
      <c r="R475" s="38" t="n">
        <f aca="false">R452*R446</f>
        <v>140800.133333333</v>
      </c>
      <c r="S475" s="38" t="n">
        <f aca="false">S452*S446</f>
        <v>146545.733333333</v>
      </c>
      <c r="T475" s="38" t="n">
        <f aca="false">T452*T446</f>
        <v>151573.133333333</v>
      </c>
      <c r="U475" s="38" t="n">
        <f aca="false">U452*U446</f>
        <v>155882.333333333</v>
      </c>
      <c r="V475" s="38" t="n">
        <f aca="false">V452*V446</f>
        <v>153868.183333333</v>
      </c>
      <c r="W475" s="38" t="n">
        <f aca="false">W452*W446</f>
        <v>158007.283333333</v>
      </c>
      <c r="X475" s="38" t="n">
        <f aca="false">X452*X446</f>
        <v>162146.383333333</v>
      </c>
      <c r="Y475" s="38" t="n">
        <f aca="false">Y452*Y446</f>
        <v>181534.331666667</v>
      </c>
      <c r="Z475" s="38" t="n">
        <f aca="false">Z452*Z446</f>
        <v>199542.58</v>
      </c>
      <c r="AA475" s="38" t="n">
        <f aca="false">AA452*AA446</f>
        <v>216171.128333333</v>
      </c>
    </row>
    <row r="476" customFormat="false" ht="15" hidden="false" customHeight="false" outlineLevel="0" collapsed="false">
      <c r="A476" s="3" t="s">
        <v>585</v>
      </c>
      <c r="B476" s="3" t="s">
        <v>62</v>
      </c>
      <c r="C476" s="60" t="n">
        <f aca="false">SUMPRODUCT($D$456:$AC$456*(($D$454:$AC$454&lt;=C$443)*(C$443&lt;$D$455:$AC$455)*Assumptions!$D$107+($D$455:$AC$455&lt;=C$443)*(C$443&lt;$D$443:$AC$443)))</f>
        <v>7871.25407925408</v>
      </c>
      <c r="D476" s="60" t="n">
        <f aca="false">SUMPRODUCT($D$456:$AC$456*(($D$454:$AC$454&lt;=D$443)*(D$443&lt;$D$455:$AC$455)*Assumptions!$D$107+($D$455:$AC$455&lt;=D$443)*(D$443&lt;$D$443:$AC$443)))</f>
        <v>4292.29324009324</v>
      </c>
      <c r="E476" s="60" t="n">
        <f aca="false">SUMPRODUCT($D$456:$AC$456*(($D$454:$AC$454&lt;=E$443)*(E$443&lt;$D$455:$AC$455)*Assumptions!$D$107+($D$455:$AC$455&lt;=E$443)*(E$443&lt;$D$443:$AC$443)))</f>
        <v>5485.28018648019</v>
      </c>
      <c r="F476" s="60" t="n">
        <f aca="false">SUMPRODUCT($D$456:$AC$456*(($D$454:$AC$454&lt;=F$443)*(F$443&lt;$D$455:$AC$455)*Assumptions!$D$107+($D$455:$AC$455&lt;=F$443)*(F$443&lt;$D$443:$AC$443)))</f>
        <v>6764.35897435898</v>
      </c>
      <c r="G476" s="60" t="n">
        <f aca="false">SUMPRODUCT($D$456:$AC$456*(($D$454:$AC$454&lt;=G$443)*(G$443&lt;$D$455:$AC$455)*Assumptions!$D$107+($D$455:$AC$455&lt;=G$443)*(G$443&lt;$D$443:$AC$443)))</f>
        <v>8178.72494172494</v>
      </c>
      <c r="H476" s="60" t="n">
        <f aca="false">SUMPRODUCT($D$456:$AC$456*(($D$454:$AC$454&lt;=H$443)*(H$443&lt;$D$455:$AC$455)*Assumptions!$D$107+($D$455:$AC$455&lt;=H$443)*(H$443&lt;$D$443:$AC$443)))</f>
        <v>12938.3738927739</v>
      </c>
      <c r="I476" s="60" t="n">
        <f aca="false">SUMPRODUCT($D$456:$AC$456*(($D$454:$AC$454&lt;=I$443)*(I$443&lt;$D$455:$AC$455)*Assumptions!$D$107+($D$455:$AC$455&lt;=I$443)*(I$443&lt;$D$443:$AC$443)))</f>
        <v>14832.3944055944</v>
      </c>
      <c r="J476" s="60" t="n">
        <f aca="false">SUMPRODUCT($D$456:$AC$456*(($D$454:$AC$454&lt;=J$443)*(J$443&lt;$D$455:$AC$455)*Assumptions!$D$107+($D$455:$AC$455&lt;=J$443)*(J$443&lt;$D$443:$AC$443)))</f>
        <v>16843.2538461539</v>
      </c>
      <c r="K476" s="60" t="n">
        <f aca="false">SUMPRODUCT($D$456:$AC$456*(($D$454:$AC$454&lt;=K$443)*(K$443&lt;$D$455:$AC$455)*Assumptions!$D$107+($D$455:$AC$455&lt;=K$443)*(K$443&lt;$D$443:$AC$443)))</f>
        <v>20133.4849039849</v>
      </c>
      <c r="L476" s="60" t="n">
        <f aca="false">SUMPRODUCT($D$456:$AC$456*(($D$454:$AC$454&lt;=L$443)*(L$443&lt;$D$455:$AC$455)*Assumptions!$D$107+($D$455:$AC$455&lt;=L$443)*(L$443&lt;$D$443:$AC$443)))</f>
        <v>25628.7603337403</v>
      </c>
      <c r="M476" s="60" t="n">
        <f aca="false">SUMPRODUCT($D$456:$AC$456*(($D$454:$AC$454&lt;=M$443)*(M$443&lt;$D$455:$AC$455)*Assumptions!$D$107+($D$455:$AC$455&lt;=M$443)*(M$443&lt;$D$443:$AC$443)))</f>
        <v>27594.1140866541</v>
      </c>
      <c r="N476" s="60" t="n">
        <f aca="false">SUMPRODUCT($D$456:$AC$456*(($D$454:$AC$454&lt;=N$443)*(N$443&lt;$D$455:$AC$455)*Assumptions!$D$107+($D$455:$AC$455&lt;=N$443)*(N$443&lt;$D$443:$AC$443)))</f>
        <v>29483.2736315536</v>
      </c>
      <c r="O476" s="60" t="n">
        <f aca="false">SUMPRODUCT($D$456:$AC$456*(($D$454:$AC$454&lt;=O$443)*(O$443&lt;$D$455:$AC$455)*Assumptions!$D$107+($D$455:$AC$455&lt;=O$443)*(O$443&lt;$D$443:$AC$443)))</f>
        <v>31813.4420508381</v>
      </c>
      <c r="P476" s="60" t="n">
        <f aca="false">SUMPRODUCT($D$456:$AC$456*(($D$454:$AC$454&lt;=P$443)*(P$443&lt;$D$455:$AC$455)*Assumptions!$D$107+($D$455:$AC$455&lt;=P$443)*(P$443&lt;$D$443:$AC$443)))</f>
        <v>33433.9364844045</v>
      </c>
      <c r="Q476" s="60" t="n">
        <f aca="false">SUMPRODUCT($D$456:$AC$456*(($D$454:$AC$454&lt;=Q$443)*(Q$443&lt;$D$455:$AC$455)*Assumptions!$D$107+($D$455:$AC$455&lt;=Q$443)*(Q$443&lt;$D$443:$AC$443)))</f>
        <v>34888.3966522366</v>
      </c>
      <c r="R476" s="60" t="n">
        <f aca="false">SUMPRODUCT($D$456:$AC$456*(($D$454:$AC$454&lt;=R$443)*(R$443&lt;$D$455:$AC$455)*Assumptions!$D$107+($D$455:$AC$455&lt;=R$443)*(R$443&lt;$D$443:$AC$443)))</f>
        <v>36010.7882886003</v>
      </c>
      <c r="S476" s="60" t="n">
        <f aca="false">SUMPRODUCT($D$456:$AC$456*(($D$454:$AC$454&lt;=S$443)*(S$443&lt;$D$455:$AC$455)*Assumptions!$D$107+($D$455:$AC$455&lt;=S$443)*(S$443&lt;$D$443:$AC$443)))</f>
        <v>37133.1799249639</v>
      </c>
      <c r="T476" s="60" t="n">
        <f aca="false">SUMPRODUCT($D$456:$AC$456*(($D$454:$AC$454&lt;=T$443)*(T$443&lt;$D$455:$AC$455)*Assumptions!$D$107+($D$455:$AC$455&lt;=T$443)*(T$443&lt;$D$443:$AC$443)))</f>
        <v>38235.6474494394</v>
      </c>
      <c r="U476" s="60" t="n">
        <f aca="false">SUMPRODUCT($D$456:$AC$456*(($D$454:$AC$454&lt;=U$443)*(U$443&lt;$D$455:$AC$455)*Assumptions!$D$107+($D$455:$AC$455&lt;=U$443)*(U$443&lt;$D$443:$AC$443)))</f>
        <v>39271.7012676213</v>
      </c>
      <c r="V476" s="60" t="n">
        <f aca="false">SUMPRODUCT($D$456:$AC$456*(($D$454:$AC$454&lt;=V$443)*(V$443&lt;$D$455:$AC$455)*Assumptions!$D$107+($D$455:$AC$455&lt;=V$443)*(V$443&lt;$D$443:$AC$443)))</f>
        <v>40307.7550858031</v>
      </c>
      <c r="W476" s="60" t="n">
        <f aca="false">SUMPRODUCT($D$456:$AC$456*(($D$454:$AC$454&lt;=W$443)*(W$443&lt;$D$455:$AC$455)*Assumptions!$D$107+($D$455:$AC$455&lt;=W$443)*(W$443&lt;$D$443:$AC$443)))</f>
        <v>43545.8800814741</v>
      </c>
      <c r="X476" s="60" t="n">
        <f aca="false">SUMPRODUCT($D$456:$AC$456*(($D$454:$AC$454&lt;=X$443)*(X$443&lt;$D$455:$AC$455)*Assumptions!$D$107+($D$455:$AC$455&lt;=X$443)*(X$443&lt;$D$443:$AC$443)))</f>
        <v>51722.9300390721</v>
      </c>
      <c r="Y476" s="60" t="n">
        <f aca="false">SUMPRODUCT($D$456:$AC$456*(($D$454:$AC$454&lt;=Y$443)*(Y$443&lt;$D$455:$AC$455)*Assumptions!$D$107+($D$455:$AC$455&lt;=Y$443)*(Y$443&lt;$D$443:$AC$443)))</f>
        <v>51895.6056754357</v>
      </c>
      <c r="Z476" s="60" t="n">
        <f aca="false">SUMPRODUCT($D$456:$AC$456*(($D$454:$AC$454&lt;=Z$443)*(Z$443&lt;$D$455:$AC$455)*Assumptions!$D$107+($D$455:$AC$455&lt;=Z$443)*(Z$443&lt;$D$443:$AC$443)))</f>
        <v>52508.6955472972</v>
      </c>
      <c r="AA476" s="60" t="n">
        <f aca="false">SUMPRODUCT($D$456:$AC$456*(($D$454:$AC$454&lt;=AA$443)*(AA$443&lt;$D$455:$AC$455)*Assumptions!$D$107+($D$455:$AC$455&lt;=AA$443)*(AA$443&lt;$D$443:$AC$443)))</f>
        <v>54109.570411544</v>
      </c>
    </row>
    <row r="477" customFormat="false" ht="15" hidden="false" customHeight="false" outlineLevel="0" collapsed="false">
      <c r="A477" s="3" t="s">
        <v>586</v>
      </c>
      <c r="B477" s="3" t="s">
        <v>62</v>
      </c>
      <c r="C477" s="38" t="n">
        <f aca="false">0</f>
        <v>0</v>
      </c>
      <c r="D477" s="38" t="n">
        <f aca="false">D339</f>
        <v>-10458.99</v>
      </c>
      <c r="E477" s="38" t="n">
        <f aca="false">E339</f>
        <v>-1000.39</v>
      </c>
      <c r="F477" s="38" t="n">
        <f aca="false">F339</f>
        <v>-1055.59</v>
      </c>
      <c r="G477" s="38" t="n">
        <f aca="false">G339</f>
        <v>560.01</v>
      </c>
      <c r="H477" s="38" t="n">
        <f aca="false">H339</f>
        <v>995.01</v>
      </c>
      <c r="I477" s="38" t="n">
        <f aca="false">I339</f>
        <v>1488.01</v>
      </c>
      <c r="J477" s="38" t="n">
        <f aca="false">J339</f>
        <v>4950.01</v>
      </c>
      <c r="K477" s="38" t="n">
        <f aca="false">K339</f>
        <v>6118.01</v>
      </c>
      <c r="L477" s="38" t="n">
        <f aca="false">L339</f>
        <v>7286.01</v>
      </c>
      <c r="M477" s="38" t="n">
        <f aca="false">M339</f>
        <v>8454.01</v>
      </c>
      <c r="N477" s="38" t="n">
        <f aca="false">N339</f>
        <v>9622.01</v>
      </c>
      <c r="O477" s="38" t="n">
        <f aca="false">O339</f>
        <v>11082.01</v>
      </c>
      <c r="P477" s="38" t="n">
        <f aca="false">P339</f>
        <v>19038.9750793651</v>
      </c>
      <c r="Q477" s="38" t="n">
        <f aca="false">Q339</f>
        <v>20714.4950793651</v>
      </c>
      <c r="R477" s="38" t="n">
        <f aca="false">R339</f>
        <v>21971.1350793651</v>
      </c>
      <c r="S477" s="38" t="n">
        <f aca="false">S339</f>
        <v>23227.7750793651</v>
      </c>
      <c r="T477" s="38" t="n">
        <f aca="false">T339</f>
        <v>24484.4150793651</v>
      </c>
      <c r="U477" s="38" t="n">
        <f aca="false">U339</f>
        <v>25741.0550793651</v>
      </c>
      <c r="V477" s="38" t="n">
        <f aca="false">V339</f>
        <v>28037.1584126984</v>
      </c>
      <c r="W477" s="38" t="n">
        <f aca="false">W339</f>
        <v>28947.4584126984</v>
      </c>
      <c r="X477" s="38" t="n">
        <f aca="false">X339</f>
        <v>29857.7584126984</v>
      </c>
      <c r="Y477" s="38" t="n">
        <f aca="false">Y339</f>
        <v>30768.0584126984</v>
      </c>
      <c r="Z477" s="38" t="n">
        <f aca="false">Z339</f>
        <v>31678.3584126984</v>
      </c>
      <c r="AA477" s="38" t="n">
        <f aca="false">AA339</f>
        <v>32588.6584126984</v>
      </c>
    </row>
    <row r="478" customFormat="false" ht="15" hidden="false" customHeight="false" outlineLevel="0" collapsed="false">
      <c r="A478" s="3" t="s">
        <v>587</v>
      </c>
      <c r="B478" s="3" t="s">
        <v>62</v>
      </c>
      <c r="C478" s="38" t="n">
        <f aca="false">0</f>
        <v>0</v>
      </c>
      <c r="D478" s="38" t="n">
        <f aca="false">D477-(D466-C466)</f>
        <v>-11543.99</v>
      </c>
      <c r="E478" s="38" t="n">
        <f aca="false">E477-(E466-D466)</f>
        <v>-1651.39</v>
      </c>
      <c r="F478" s="38" t="n">
        <f aca="false">F477-(F466-E466)</f>
        <v>-1923.59</v>
      </c>
      <c r="G478" s="38" t="n">
        <f aca="false">G477-(G466-F466)</f>
        <v>-1236.65666666667</v>
      </c>
      <c r="H478" s="38" t="n">
        <f aca="false">H477-(H466-G466)</f>
        <v>-325.19</v>
      </c>
      <c r="I478" s="38" t="n">
        <f aca="false">I477-(I466-H466)</f>
        <v>-8.21666666666829</v>
      </c>
      <c r="J478" s="38" t="n">
        <f aca="false">J477-(J466-I466)</f>
        <v>1993.77</v>
      </c>
      <c r="K478" s="38" t="n">
        <f aca="false">K477-(K466-J466)</f>
        <v>4083.34333333333</v>
      </c>
      <c r="L478" s="38" t="n">
        <f aca="false">L477-(L466-K466)</f>
        <v>5251.34333333333</v>
      </c>
      <c r="M478" s="38" t="n">
        <f aca="false">M477-(M466-L466)</f>
        <v>6419.34333333333</v>
      </c>
      <c r="N478" s="38" t="n">
        <f aca="false">N477-(N466-M466)</f>
        <v>7587.34333333333</v>
      </c>
      <c r="O478" s="38" t="n">
        <f aca="false">O477-(O466-N466)</f>
        <v>8538.67666666667</v>
      </c>
      <c r="P478" s="38" t="n">
        <f aca="false">P477-(P466-O466)</f>
        <v>9539.92915343916</v>
      </c>
      <c r="Q478" s="38" t="n">
        <f aca="false">Q477-(Q466-P466)</f>
        <v>18323.8177460317</v>
      </c>
      <c r="R478" s="38" t="n">
        <f aca="false">R477-(R466-Q466)</f>
        <v>20178.1270793651</v>
      </c>
      <c r="S478" s="38" t="n">
        <f aca="false">S477-(S466-R466)</f>
        <v>21434.7670793651</v>
      </c>
      <c r="T478" s="38" t="n">
        <f aca="false">T477-(T466-S466)</f>
        <v>22691.4070793651</v>
      </c>
      <c r="U478" s="38" t="n">
        <f aca="false">U477-(U466-T466)</f>
        <v>23948.0470793651</v>
      </c>
      <c r="V478" s="38" t="n">
        <f aca="false">V477-(V466-U466)</f>
        <v>26775.6697460318</v>
      </c>
      <c r="W478" s="38" t="n">
        <f aca="false">W477-(W466-V466)</f>
        <v>27750.0197460317</v>
      </c>
      <c r="X478" s="38" t="n">
        <f aca="false">X477-(X466-W466)</f>
        <v>28660.3197460318</v>
      </c>
      <c r="Y478" s="38" t="n">
        <f aca="false">Y477-(Y466-X466)</f>
        <v>29570.6197460317</v>
      </c>
      <c r="Z478" s="38" t="n">
        <f aca="false">Z477-(Z466-Y466)</f>
        <v>30480.9197460318</v>
      </c>
      <c r="AA478" s="38" t="n">
        <f aca="false">AA477-(AA466-Z466)</f>
        <v>31391.2197460317</v>
      </c>
    </row>
    <row r="480" customFormat="false" ht="15" hidden="false" customHeight="false" outlineLevel="0" collapsed="false">
      <c r="A480" s="5" t="s">
        <v>588</v>
      </c>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row>
    <row r="481" customFormat="false" ht="15" hidden="false" customHeight="false" outlineLevel="0" collapsed="false">
      <c r="A481" s="3" t="s">
        <v>589</v>
      </c>
      <c r="C481" s="63" t="n">
        <f aca="false">MIN($C$471:$AA$471)</f>
        <v>-96319.1887175048</v>
      </c>
    </row>
    <row r="482" customFormat="false" ht="15" hidden="false" customHeight="false" outlineLevel="0" collapsed="false">
      <c r="A482" s="3" t="s">
        <v>590</v>
      </c>
      <c r="C482" s="64" t="n">
        <f aca="false">INDEX($C$443:$AA$443,1,MATCH(C481,$C$471:$AA$471,0))</f>
        <v>12</v>
      </c>
    </row>
    <row r="483" customFormat="false" ht="15" hidden="false" customHeight="false" outlineLevel="0" collapsed="false">
      <c r="A483" s="3" t="s">
        <v>591</v>
      </c>
      <c r="C483" s="63" t="n">
        <f aca="false">MIN(C481,$C$502:$E$502)</f>
        <v>-96319.1887175048</v>
      </c>
    </row>
    <row r="484" customFormat="false" ht="15" hidden="false" customHeight="false" outlineLevel="0" collapsed="false">
      <c r="A484" s="3" t="s">
        <v>592</v>
      </c>
      <c r="C484" s="8" t="str">
        <f aca="false">IF(C481&lt;=MIN($C$502:$E$502),"Month "&amp;C482,CHOOSE(MATCH(C483,$C$502:$E$502,0),"Year 3","Year 4","Year 5"))</f>
        <v>Month 12</v>
      </c>
    </row>
    <row r="485" customFormat="false" ht="15" hidden="false" customHeight="false" outlineLevel="0" collapsed="false">
      <c r="A485" s="3" t="s">
        <v>593</v>
      </c>
      <c r="C485" s="64" t="n">
        <f aca="false">IF(C481&lt;=MIN($C$502:$E$502),C482,24+12*MATCH(C483,$C$502:$E$502,0))</f>
        <v>12</v>
      </c>
    </row>
    <row r="486" customFormat="false" ht="15" hidden="false" customHeight="false" outlineLevel="0" collapsed="false">
      <c r="A486" s="3" t="s">
        <v>594</v>
      </c>
      <c r="C486" s="63" t="n">
        <f aca="false">MAX(0,-C483)</f>
        <v>96319.1887175048</v>
      </c>
    </row>
    <row r="487" customFormat="false" ht="15" hidden="false" customHeight="false" outlineLevel="0" collapsed="false">
      <c r="A487" s="3" t="s">
        <v>595</v>
      </c>
      <c r="C487" s="67" t="n">
        <f aca="false">C486*Assumptions!$D$110</f>
        <v>115583.026461006</v>
      </c>
    </row>
    <row r="488" customFormat="false" ht="15" hidden="false" customHeight="false" outlineLevel="0" collapsed="false">
      <c r="A488" s="3" t="s">
        <v>596</v>
      </c>
      <c r="C488" s="64" t="n">
        <f aca="false">IFERROR(MAX(0,INDEX($C$443:$AA$443,1,MATCH(1,$C$472:$AA$472,0))-1),"none")</f>
        <v>2</v>
      </c>
    </row>
    <row r="489" customFormat="false" ht="15" hidden="false" customHeight="false" outlineLevel="0" collapsed="false">
      <c r="A489" s="3" t="s">
        <v>597</v>
      </c>
      <c r="C489" s="38" t="n">
        <f aca="false">AVERAGE($G$470:$I$470)</f>
        <v>-10439.0329215229</v>
      </c>
    </row>
    <row r="490" customFormat="false" ht="15" hidden="false" customHeight="false" outlineLevel="0" collapsed="false">
      <c r="A490" s="3" t="s">
        <v>598</v>
      </c>
      <c r="C490" s="68" t="n">
        <f aca="false">IF(C489&lt;0,MAX(0,$F$471)/-C489,"funded")</f>
        <v>0</v>
      </c>
    </row>
    <row r="491" customFormat="false" ht="15" hidden="false" customHeight="false" outlineLevel="0" collapsed="false">
      <c r="A491" s="3" t="s">
        <v>599</v>
      </c>
      <c r="B491" s="3" t="s">
        <v>62</v>
      </c>
      <c r="C491" s="38" t="n">
        <f aca="false">IF(C$443=$C$488,$C$487,0)</f>
        <v>0</v>
      </c>
      <c r="D491" s="38" t="n">
        <f aca="false">IF(D$443=$C$488,$C$487,0)</f>
        <v>0</v>
      </c>
      <c r="E491" s="38" t="n">
        <f aca="false">IF(E$443=$C$488,$C$487,0)</f>
        <v>115583.026461006</v>
      </c>
      <c r="F491" s="38" t="n">
        <f aca="false">IF(F$443=$C$488,$C$487,0)</f>
        <v>0</v>
      </c>
      <c r="G491" s="38" t="n">
        <f aca="false">IF(G$443=$C$488,$C$487,0)</f>
        <v>0</v>
      </c>
      <c r="H491" s="38" t="n">
        <f aca="false">IF(H$443=$C$488,$C$487,0)</f>
        <v>0</v>
      </c>
      <c r="I491" s="38" t="n">
        <f aca="false">IF(I$443=$C$488,$C$487,0)</f>
        <v>0</v>
      </c>
      <c r="J491" s="38" t="n">
        <f aca="false">IF(J$443=$C$488,$C$487,0)</f>
        <v>0</v>
      </c>
      <c r="K491" s="38" t="n">
        <f aca="false">IF(K$443=$C$488,$C$487,0)</f>
        <v>0</v>
      </c>
      <c r="L491" s="38" t="n">
        <f aca="false">IF(L$443=$C$488,$C$487,0)</f>
        <v>0</v>
      </c>
      <c r="M491" s="38" t="n">
        <f aca="false">IF(M$443=$C$488,$C$487,0)</f>
        <v>0</v>
      </c>
      <c r="N491" s="38" t="n">
        <f aca="false">IF(N$443=$C$488,$C$487,0)</f>
        <v>0</v>
      </c>
      <c r="O491" s="38" t="n">
        <f aca="false">IF(O$443=$C$488,$C$487,0)</f>
        <v>0</v>
      </c>
      <c r="P491" s="38" t="n">
        <f aca="false">IF(P$443=$C$488,$C$487,0)</f>
        <v>0</v>
      </c>
      <c r="Q491" s="38" t="n">
        <f aca="false">IF(Q$443=$C$488,$C$487,0)</f>
        <v>0</v>
      </c>
      <c r="R491" s="38" t="n">
        <f aca="false">IF(R$443=$C$488,$C$487,0)</f>
        <v>0</v>
      </c>
      <c r="S491" s="38" t="n">
        <f aca="false">IF(S$443=$C$488,$C$487,0)</f>
        <v>0</v>
      </c>
      <c r="T491" s="38" t="n">
        <f aca="false">IF(T$443=$C$488,$C$487,0)</f>
        <v>0</v>
      </c>
      <c r="U491" s="38" t="n">
        <f aca="false">IF(U$443=$C$488,$C$487,0)</f>
        <v>0</v>
      </c>
      <c r="V491" s="38" t="n">
        <f aca="false">IF(V$443=$C$488,$C$487,0)</f>
        <v>0</v>
      </c>
      <c r="W491" s="38" t="n">
        <f aca="false">IF(W$443=$C$488,$C$487,0)</f>
        <v>0</v>
      </c>
      <c r="X491" s="38" t="n">
        <f aca="false">IF(X$443=$C$488,$C$487,0)</f>
        <v>0</v>
      </c>
      <c r="Y491" s="38" t="n">
        <f aca="false">IF(Y$443=$C$488,$C$487,0)</f>
        <v>0</v>
      </c>
      <c r="Z491" s="38" t="n">
        <f aca="false">IF(Z$443=$C$488,$C$487,0)</f>
        <v>0</v>
      </c>
      <c r="AA491" s="38" t="n">
        <f aca="false">IF(AA$443=$C$488,$C$487,0)</f>
        <v>0</v>
      </c>
    </row>
    <row r="492" customFormat="false" ht="15" hidden="false" customHeight="false" outlineLevel="0" collapsed="false">
      <c r="A492" s="9" t="s">
        <v>600</v>
      </c>
      <c r="B492" s="3" t="s">
        <v>62</v>
      </c>
      <c r="C492" s="29" t="n">
        <f aca="false">C471+C491</f>
        <v>31128.7459207459</v>
      </c>
      <c r="D492" s="29" t="n">
        <f aca="false">C492+D470+D491</f>
        <v>8533.71675990675</v>
      </c>
      <c r="E492" s="29" t="n">
        <f aca="false">D492+E470+E491</f>
        <v>115819.366274526</v>
      </c>
      <c r="F492" s="29" t="n">
        <f aca="false">E492+F470+F491</f>
        <v>106498.697486647</v>
      </c>
      <c r="G492" s="29" t="n">
        <f aca="false">F492+G470+G491</f>
        <v>97197.6748526141</v>
      </c>
      <c r="H492" s="29" t="n">
        <f aca="false">G492+H470+H491</f>
        <v>84797.8359015651</v>
      </c>
      <c r="I492" s="29" t="n">
        <f aca="false">H492+I470+I491</f>
        <v>75181.598722078</v>
      </c>
      <c r="J492" s="29" t="n">
        <f aca="false">I492+J470+J491</f>
        <v>67184.5092815185</v>
      </c>
      <c r="K492" s="29" t="n">
        <f aca="false">J492+K470+K491</f>
        <v>59997.6215570208</v>
      </c>
      <c r="L492" s="29" t="n">
        <f aca="false">K492+L470+L491</f>
        <v>51108.6894605987</v>
      </c>
      <c r="M492" s="29" t="n">
        <f aca="false">L492+M470+M491</f>
        <v>39245.9012632405</v>
      </c>
      <c r="N492" s="29" t="n">
        <f aca="false">M492+N470+N491</f>
        <v>28414.5072738965</v>
      </c>
      <c r="O492" s="29" t="n">
        <f aca="false">N492+O470+O491</f>
        <v>19263.837743501</v>
      </c>
      <c r="P492" s="29" t="n">
        <f aca="false">O492+P470+P491</f>
        <v>20001.2724633737</v>
      </c>
      <c r="Q492" s="29" t="n">
        <f aca="false">P492+Q470+Q491</f>
        <v>30406.8300415733</v>
      </c>
      <c r="R492" s="29" t="n">
        <f aca="false">Q492+R470+R491</f>
        <v>42998.7654845748</v>
      </c>
      <c r="S492" s="29" t="n">
        <f aca="false">R492+S470+S491</f>
        <v>57565.5409275762</v>
      </c>
      <c r="T492" s="29" t="n">
        <f aca="false">S492+T470+T491</f>
        <v>74127.0804824658</v>
      </c>
      <c r="U492" s="29" t="n">
        <f aca="false">T492+U470+U491</f>
        <v>92729.8737436491</v>
      </c>
      <c r="V492" s="29" t="n">
        <f aca="false">U492+V470+V491</f>
        <v>114330.389671499</v>
      </c>
      <c r="W492" s="29" t="n">
        <f aca="false">V492+W470+W491</f>
        <v>134703.18442186</v>
      </c>
      <c r="X492" s="29" t="n">
        <f aca="false">W492+X470+X491</f>
        <v>151047.354210294</v>
      </c>
      <c r="Y492" s="29" t="n">
        <f aca="false">X492+Y470+Y491</f>
        <v>161057.349986628</v>
      </c>
      <c r="Z492" s="29" t="n">
        <f aca="false">Y492+Z470+Z491</f>
        <v>172916.931527465</v>
      </c>
      <c r="AA492" s="29" t="n">
        <f aca="false">Z492+AA470+AA491</f>
        <v>186078.728075917</v>
      </c>
    </row>
    <row r="493" customFormat="false" ht="15" hidden="false" customHeight="false" outlineLevel="0" collapsed="false">
      <c r="A493" s="3" t="s">
        <v>601</v>
      </c>
      <c r="C493" s="68" t="n">
        <f aca="false">IF(C489&lt;0,MAX(0,$F$492)/-C489,"funded")</f>
        <v>10.2019696927165</v>
      </c>
    </row>
    <row r="495" customFormat="false" ht="15" hidden="false" customHeight="false" outlineLevel="0" collapsed="false">
      <c r="A495" s="9" t="s">
        <v>602</v>
      </c>
      <c r="C495" s="14" t="s">
        <v>512</v>
      </c>
      <c r="D495" s="14" t="s">
        <v>513</v>
      </c>
      <c r="E495" s="14" t="s">
        <v>514</v>
      </c>
    </row>
    <row r="496" customFormat="false" ht="15" hidden="false" customHeight="false" outlineLevel="0" collapsed="false">
      <c r="A496" s="3" t="s">
        <v>603</v>
      </c>
      <c r="C496" s="38" t="n">
        <f aca="false">E432</f>
        <v>426207.558621376</v>
      </c>
      <c r="D496" s="38" t="n">
        <f aca="false">F432</f>
        <v>540707.58083153</v>
      </c>
      <c r="E496" s="38" t="n">
        <f aca="false">G432</f>
        <v>612714.567622496</v>
      </c>
    </row>
    <row r="497" customFormat="false" ht="15" hidden="false" customHeight="false" outlineLevel="0" collapsed="false">
      <c r="A497" s="3" t="s">
        <v>604</v>
      </c>
      <c r="C497" s="60" t="n">
        <f aca="false">E422*Assumptions!$D$105/365</f>
        <v>270278.046890667</v>
      </c>
      <c r="D497" s="60" t="n">
        <f aca="false">F422*Assumptions!$D$105/365</f>
        <v>392731.590886785</v>
      </c>
      <c r="E497" s="60" t="n">
        <f aca="false">G422*Assumptions!$D$105/365</f>
        <v>506359.846966633</v>
      </c>
    </row>
    <row r="498" customFormat="false" ht="15" hidden="false" customHeight="false" outlineLevel="0" collapsed="false">
      <c r="A498" s="3" t="s">
        <v>605</v>
      </c>
      <c r="C498" s="60" t="n">
        <f aca="false">E421*Assumptions!$D$109/365</f>
        <v>100174.746161096</v>
      </c>
      <c r="D498" s="60" t="n">
        <f aca="false">F421*Assumptions!$D$109/365</f>
        <v>140213.057379118</v>
      </c>
      <c r="E498" s="60" t="n">
        <f aca="false">G421*Assumptions!$D$109/365</f>
        <v>175526.569704986</v>
      </c>
    </row>
    <row r="499" customFormat="false" ht="15" hidden="false" customHeight="false" outlineLevel="0" collapsed="false">
      <c r="A499" s="3" t="s">
        <v>606</v>
      </c>
      <c r="C499" s="38" t="n">
        <f aca="false">C497-($AA$475+$AA$476)</f>
        <v>-2.65185421070782</v>
      </c>
      <c r="D499" s="38" t="n">
        <f aca="false">D497-C497</f>
        <v>122453.543996119</v>
      </c>
      <c r="E499" s="38" t="n">
        <f aca="false">E497-D497</f>
        <v>113628.256079848</v>
      </c>
    </row>
    <row r="500" customFormat="false" ht="15" hidden="false" customHeight="false" outlineLevel="0" collapsed="false">
      <c r="A500" s="3" t="s">
        <v>607</v>
      </c>
      <c r="C500" s="38" t="n">
        <f aca="false">C498-$AA$466</f>
        <v>53008.9755685033</v>
      </c>
      <c r="D500" s="38" t="n">
        <f aca="false">D498-C498</f>
        <v>40038.3112180217</v>
      </c>
      <c r="E500" s="38" t="n">
        <f aca="false">E498-D498</f>
        <v>35313.5123258685</v>
      </c>
    </row>
    <row r="501" customFormat="false" ht="15" hidden="false" customHeight="false" outlineLevel="0" collapsed="false">
      <c r="A501" s="3" t="s">
        <v>580</v>
      </c>
      <c r="C501" s="38" t="n">
        <f aca="false">C496-C499-C500</f>
        <v>373201.234907083</v>
      </c>
      <c r="D501" s="38" t="n">
        <f aca="false">D496-D499-D500</f>
        <v>378215.725617389</v>
      </c>
      <c r="E501" s="38" t="n">
        <f aca="false">E496-E499-E500</f>
        <v>463772.799216779</v>
      </c>
    </row>
    <row r="502" customFormat="false" ht="15" hidden="false" customHeight="false" outlineLevel="0" collapsed="false">
      <c r="A502" s="3" t="s">
        <v>608</v>
      </c>
      <c r="C502" s="29" t="n">
        <f aca="false">$AA$471+C501</f>
        <v>443696.936521994</v>
      </c>
      <c r="D502" s="29" t="n">
        <f aca="false">C502+D501</f>
        <v>821912.662139383</v>
      </c>
      <c r="E502" s="29" t="n">
        <f aca="false">D502+E501</f>
        <v>1285685.46135616</v>
      </c>
    </row>
    <row r="503" customFormat="false" ht="15" hidden="false" customHeight="false" outlineLevel="0" collapsed="false">
      <c r="A503" s="3" t="s">
        <v>609</v>
      </c>
      <c r="C503" s="29" t="n">
        <f aca="false">$AA$492+C501</f>
        <v>559279.962983</v>
      </c>
      <c r="D503" s="29" t="n">
        <f aca="false">C503+D501</f>
        <v>937495.688600389</v>
      </c>
      <c r="E503" s="29" t="n">
        <f aca="false">D503+E501</f>
        <v>1401268.48781717</v>
      </c>
    </row>
    <row r="505" customFormat="false" ht="15" hidden="false" customHeight="false" outlineLevel="0" collapsed="false">
      <c r="A505" s="4" t="s">
        <v>610</v>
      </c>
    </row>
    <row r="506" customFormat="false" ht="15" hidden="false" customHeight="false" outlineLevel="0" collapsed="false">
      <c r="A506" s="4" t="s">
        <v>611</v>
      </c>
    </row>
    <row r="508" customFormat="false" ht="15" hidden="false" customHeight="false" outlineLevel="0" collapsed="false">
      <c r="A508" s="5" t="s">
        <v>860</v>
      </c>
      <c r="B508" s="15"/>
      <c r="C508" s="15"/>
      <c r="D508" s="15"/>
      <c r="E508" s="15"/>
      <c r="F508" s="15"/>
      <c r="G508" s="15"/>
      <c r="H508" s="15"/>
    </row>
    <row r="509" customFormat="false" ht="15" hidden="false" customHeight="false" outlineLevel="0" collapsed="false">
      <c r="A509" s="14" t="s">
        <v>643</v>
      </c>
      <c r="B509" s="14" t="s">
        <v>644</v>
      </c>
      <c r="C509" s="14" t="s">
        <v>645</v>
      </c>
      <c r="D509" s="14" t="s">
        <v>646</v>
      </c>
      <c r="E509" s="14" t="s">
        <v>647</v>
      </c>
      <c r="F509" s="14" t="s">
        <v>648</v>
      </c>
      <c r="G509" s="14" t="s">
        <v>59</v>
      </c>
    </row>
    <row r="510" customFormat="false" ht="15" hidden="false" customHeight="false" outlineLevel="0" collapsed="false">
      <c r="A510" s="9" t="s">
        <v>649</v>
      </c>
    </row>
    <row r="511" customFormat="false" ht="15" hidden="false" customHeight="false" outlineLevel="0" collapsed="false">
      <c r="A511" s="3" t="s">
        <v>650</v>
      </c>
      <c r="B511" s="3" t="s">
        <v>651</v>
      </c>
      <c r="C511" s="7" t="str">
        <f aca="false">"at or above "&amp;TEXT(Assumptions!$D$114,"0%")</f>
        <v>at or above 8%</v>
      </c>
      <c r="D511" s="7" t="str">
        <f aca="false">"hero below "&amp;TEXT(Assumptions!$D$115,"0%")</f>
        <v>hero below 5%</v>
      </c>
      <c r="E511" s="3" t="str">
        <f aca="false">"observed"</f>
        <v>observed</v>
      </c>
      <c r="F511" s="3" t="str">
        <f aca="false">"observed"</f>
        <v>observed</v>
      </c>
      <c r="G511" s="3" t="s">
        <v>652</v>
      </c>
    </row>
    <row r="512" customFormat="false" ht="15" hidden="false" customHeight="false" outlineLevel="0" collapsed="false">
      <c r="A512" s="3" t="s">
        <v>653</v>
      </c>
      <c r="B512" s="34" t="n">
        <f aca="false">$F$308</f>
        <v>0.3</v>
      </c>
      <c r="C512" s="7" t="str">
        <f aca="false">"at or below "&amp;TEXT(Assumptions!$D$116,"0%")</f>
        <v>at or below 30%</v>
      </c>
      <c r="D512" s="7" t="str">
        <f aca="false">"above "&amp;TEXT(Assumptions!$D$117,"0%")</f>
        <v>above 40%</v>
      </c>
      <c r="E512" s="72" t="b">
        <f aca="false">B512&lt;=Assumptions!$D$116</f>
        <v>1</v>
      </c>
      <c r="F512" s="72" t="b">
        <f aca="false">B512&gt;Assumptions!$D$117</f>
        <v>0</v>
      </c>
      <c r="G512" s="3" t="s">
        <v>654</v>
      </c>
    </row>
    <row r="513" customFormat="false" ht="15" hidden="false" customHeight="false" outlineLevel="0" collapsed="false">
      <c r="A513" s="3" t="s">
        <v>655</v>
      </c>
      <c r="B513" s="34" t="n">
        <f aca="false">$F$316</f>
        <v>0.03</v>
      </c>
      <c r="C513" s="7" t="str">
        <f aca="false">"at or below "&amp;TEXT(Assumptions!$D$118,"0%")</f>
        <v>at or below 4%</v>
      </c>
      <c r="D513" s="7" t="str">
        <f aca="false">"above "&amp;TEXT(Assumptions!$D$119,"0%")</f>
        <v>above 7%</v>
      </c>
      <c r="E513" s="72" t="b">
        <f aca="false">B513&lt;=Assumptions!$D$118</f>
        <v>1</v>
      </c>
      <c r="F513" s="72" t="b">
        <f aca="false">B513&gt;Assumptions!$D$119</f>
        <v>0</v>
      </c>
      <c r="G513" s="3"/>
    </row>
    <row r="514" customFormat="false" ht="15" hidden="false" customHeight="false" outlineLevel="0" collapsed="false">
      <c r="A514" s="3" t="s">
        <v>656</v>
      </c>
      <c r="B514" s="40" t="n">
        <f aca="false">$F$309</f>
        <v>12.14</v>
      </c>
      <c r="C514" s="7" t="str">
        <f aca="false">"at or above "&amp;TEXT(Assumptions!$D$120,"$#,##0;($#,##0)")</f>
        <v>at or above $11</v>
      </c>
      <c r="D514" s="7" t="str">
        <f aca="false">"hero below "&amp;TEXT(Assumptions!$D$121,"$#,##0;($#,##0)")</f>
        <v>hero below $8</v>
      </c>
      <c r="E514" s="72" t="b">
        <f aca="false">B514&gt;=Assumptions!$D$120</f>
        <v>1</v>
      </c>
      <c r="F514" s="72" t="b">
        <f aca="false">B514&lt;Assumptions!$D$121</f>
        <v>0</v>
      </c>
      <c r="G514" s="3" t="s">
        <v>657</v>
      </c>
    </row>
    <row r="515" customFormat="false" ht="15" hidden="false" customHeight="false" outlineLevel="0" collapsed="false">
      <c r="A515" s="3" t="s">
        <v>658</v>
      </c>
      <c r="B515" s="77" t="n">
        <f aca="false">$C$493</f>
        <v>10.2019696927165</v>
      </c>
      <c r="C515" s="7" t="str">
        <f aca="false">"at or above "&amp;TEXT(Assumptions!$D$122,"0")&amp;" months"</f>
        <v>at or above 4 months</v>
      </c>
      <c r="D515" s="7" t="str">
        <f aca="false">"below "&amp;TEXT(Assumptions!$D$123,"0")&amp;" months"</f>
        <v>below 2 months</v>
      </c>
      <c r="E515" s="72" t="b">
        <f aca="false">IF(ISNUMBER(B515),B515&gt;=Assumptions!$D$122,TRUE())</f>
        <v>1</v>
      </c>
      <c r="F515" s="72" t="b">
        <f aca="false">IF(ISNUMBER(B515),B515&lt;Assumptions!$D$123,FALSE())</f>
        <v>0</v>
      </c>
      <c r="G515" s="3" t="s">
        <v>659</v>
      </c>
    </row>
    <row r="516" customFormat="false" ht="15" hidden="false" customHeight="false" outlineLevel="0" collapsed="false">
      <c r="A516" s="3" t="s">
        <v>660</v>
      </c>
      <c r="B516" s="3" t="s">
        <v>651</v>
      </c>
      <c r="C516" s="3" t="s">
        <v>661</v>
      </c>
      <c r="D516" s="7" t="str">
        <f aca="false">"any open more than "&amp;TEXT(Assumptions!$D$124,"0")&amp;" days"</f>
        <v>any open more than 14 days</v>
      </c>
      <c r="E516" s="3" t="str">
        <f aca="false">"observed"</f>
        <v>observed</v>
      </c>
      <c r="F516" s="3" t="str">
        <f aca="false">"observed"</f>
        <v>observed</v>
      </c>
      <c r="G516" s="3" t="s">
        <v>662</v>
      </c>
    </row>
    <row r="517" customFormat="false" ht="15" hidden="false" customHeight="false" outlineLevel="0" collapsed="false">
      <c r="A517" s="9" t="s">
        <v>663</v>
      </c>
      <c r="B517" s="8" t="str">
        <f aca="false">IF(OR(F512,F513,F514,F515),"KILL",IF(AND(E512,E513,E514,E515),"PASS","REVIEW"))</f>
        <v>PASS</v>
      </c>
      <c r="G517" s="3" t="s">
        <v>664</v>
      </c>
    </row>
    <row r="519" customFormat="false" ht="15" hidden="false" customHeight="false" outlineLevel="0" collapsed="false">
      <c r="A519" s="9" t="s">
        <v>665</v>
      </c>
    </row>
    <row r="520" customFormat="false" ht="15" hidden="false" customHeight="false" outlineLevel="0" collapsed="false">
      <c r="A520" s="3" t="s">
        <v>666</v>
      </c>
      <c r="B520" s="38" t="n">
        <f aca="false">$O$293</f>
        <v>86100</v>
      </c>
      <c r="C520" s="7" t="str">
        <f aca="false">"at or above "&amp;TEXT(Assumptions!$D$125,"$#,##0;($#,##0)")</f>
        <v>at or above $70,000</v>
      </c>
      <c r="D520" s="7" t="str">
        <f aca="false">"below "&amp;TEXT(Assumptions!$D$126,"$#,##0;($#,##0)")</f>
        <v>below $50,000</v>
      </c>
      <c r="E520" s="72" t="b">
        <f aca="false">B520&gt;=Assumptions!$D$125</f>
        <v>1</v>
      </c>
      <c r="F520" s="72" t="b">
        <f aca="false">B520&lt;Assumptions!$D$126</f>
        <v>0</v>
      </c>
      <c r="G520" s="3" t="s">
        <v>667</v>
      </c>
    </row>
    <row r="521" customFormat="false" ht="15" hidden="false" customHeight="false" outlineLevel="0" collapsed="false">
      <c r="A521" s="3" t="s">
        <v>668</v>
      </c>
      <c r="B521" s="38" t="n">
        <f aca="false">$O$306</f>
        <v>38040.12</v>
      </c>
      <c r="C521" s="7" t="str">
        <f aca="false">"at or above "&amp;TEXT(Assumptions!$D$127,"$#,##0;($#,##0)")</f>
        <v>at or above $0</v>
      </c>
      <c r="D521" s="7" t="str">
        <f aca="false">"below "&amp;TEXT(Assumptions!$D$128,"$#,##0;($#,##0)")</f>
        <v>below ($25,000)</v>
      </c>
      <c r="E521" s="72" t="b">
        <f aca="false">B521&gt;=Assumptions!$D$127</f>
        <v>1</v>
      </c>
      <c r="F521" s="72" t="b">
        <f aca="false">B521&lt;Assumptions!$D$128</f>
        <v>0</v>
      </c>
      <c r="G521" s="3"/>
    </row>
    <row r="522" customFormat="false" ht="15" hidden="false" customHeight="false" outlineLevel="0" collapsed="false">
      <c r="A522" s="3" t="s">
        <v>669</v>
      </c>
      <c r="B522" s="34" t="n">
        <f aca="false">$O$308</f>
        <v>0.15</v>
      </c>
      <c r="C522" s="7" t="str">
        <f aca="false">"at or below "&amp;TEXT(Assumptions!$D$129,"0%")</f>
        <v>at or below 15%</v>
      </c>
      <c r="D522" s="7" t="str">
        <f aca="false">"above "&amp;TEXT(Assumptions!$D$130,"0%")</f>
        <v>above 25%</v>
      </c>
      <c r="E522" s="72" t="b">
        <f aca="false">B522&lt;=Assumptions!$D$129</f>
        <v>1</v>
      </c>
      <c r="F522" s="72" t="b">
        <f aca="false">B522&gt;Assumptions!$D$130</f>
        <v>0</v>
      </c>
      <c r="G522" s="3"/>
    </row>
    <row r="523" customFormat="false" ht="15" hidden="false" customHeight="false" outlineLevel="0" collapsed="false">
      <c r="A523" s="3" t="s">
        <v>670</v>
      </c>
      <c r="B523" s="34" t="n">
        <f aca="false">$O$316</f>
        <v>0.03</v>
      </c>
      <c r="C523" s="7" t="str">
        <f aca="false">"at or below "&amp;TEXT(Assumptions!$D$131,"0%")</f>
        <v>at or below 3%</v>
      </c>
      <c r="D523" s="7" t="str">
        <f aca="false">"above "&amp;TEXT(Assumptions!$D$132,"0%")</f>
        <v>above 5%</v>
      </c>
      <c r="E523" s="72" t="b">
        <f aca="false">B523&lt;=Assumptions!$D$131</f>
        <v>1</v>
      </c>
      <c r="F523" s="72" t="b">
        <f aca="false">B523&gt;Assumptions!$D$132</f>
        <v>0</v>
      </c>
      <c r="G523" s="3"/>
    </row>
    <row r="524" customFormat="false" ht="15" hidden="false" customHeight="false" outlineLevel="0" collapsed="false">
      <c r="A524" s="3" t="s">
        <v>671</v>
      </c>
      <c r="B524" s="38" t="n">
        <f aca="false">MIN($N$478,$O$478)</f>
        <v>7587.34333333333</v>
      </c>
      <c r="C524" s="3" t="s">
        <v>672</v>
      </c>
      <c r="D524" s="7" t="str">
        <f aca="false">"negative in Months 10, 11 and 12 with a funding gap above "&amp;TEXT(Assumptions!$D$133,"$#,##0;($#,##0)")</f>
        <v>negative in Months 10, 11 and 12 with a funding gap above $50,000</v>
      </c>
      <c r="E524" s="74" t="b">
        <f aca="false">B524&gt;0</f>
        <v>1</v>
      </c>
      <c r="F524" s="72" t="b">
        <f aca="false">AND($M$478&lt;0,$N$478&lt;0,$O$478&lt;0,$C$487&gt;Assumptions!$D$133)</f>
        <v>0</v>
      </c>
      <c r="G524" s="3" t="s">
        <v>861</v>
      </c>
    </row>
    <row r="525" customFormat="false" ht="15" hidden="false" customHeight="false" outlineLevel="0" collapsed="false">
      <c r="A525" s="9" t="s">
        <v>674</v>
      </c>
      <c r="B525" s="8" t="str">
        <f aca="false">IF(OR(F520,F521,F522,F523,F524),"KILL",IF(AND(E520,E521,E522,E523,E524),"PASS","REVIEW"))</f>
        <v>PASS</v>
      </c>
      <c r="G525" s="3" t="s">
        <v>675</v>
      </c>
    </row>
    <row r="529" customFormat="false" ht="15" hidden="false" customHeight="false" outlineLevel="0" collapsed="false">
      <c r="A529" s="5" t="s">
        <v>862</v>
      </c>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customFormat="false" ht="15" hidden="false" customHeight="false" outlineLevel="0" collapsed="false">
      <c r="A530" s="14" t="s">
        <v>444</v>
      </c>
      <c r="B530" s="14" t="s">
        <v>53</v>
      </c>
      <c r="C530" s="14" t="s">
        <v>445</v>
      </c>
      <c r="D530" s="14" t="s">
        <v>232</v>
      </c>
      <c r="E530" s="14" t="s">
        <v>234</v>
      </c>
      <c r="F530" s="14" t="s">
        <v>235</v>
      </c>
      <c r="G530" s="14" t="s">
        <v>236</v>
      </c>
      <c r="H530" s="14" t="s">
        <v>237</v>
      </c>
      <c r="I530" s="14" t="s">
        <v>238</v>
      </c>
      <c r="J530" s="14" t="s">
        <v>239</v>
      </c>
      <c r="K530" s="14" t="s">
        <v>240</v>
      </c>
      <c r="L530" s="14" t="s">
        <v>241</v>
      </c>
      <c r="M530" s="14" t="s">
        <v>242</v>
      </c>
      <c r="N530" s="14" t="s">
        <v>243</v>
      </c>
      <c r="O530" s="14" t="s">
        <v>244</v>
      </c>
      <c r="P530" s="14" t="s">
        <v>245</v>
      </c>
      <c r="Q530" s="14" t="s">
        <v>246</v>
      </c>
      <c r="R530" s="14" t="s">
        <v>247</v>
      </c>
      <c r="S530" s="14" t="s">
        <v>248</v>
      </c>
      <c r="T530" s="14" t="s">
        <v>249</v>
      </c>
      <c r="U530" s="14" t="s">
        <v>250</v>
      </c>
      <c r="V530" s="14" t="s">
        <v>251</v>
      </c>
      <c r="W530" s="14" t="s">
        <v>253</v>
      </c>
      <c r="X530" s="14" t="s">
        <v>254</v>
      </c>
      <c r="Y530" s="14" t="s">
        <v>255</v>
      </c>
      <c r="Z530" s="14" t="s">
        <v>256</v>
      </c>
      <c r="AA530" s="14" t="s">
        <v>257</v>
      </c>
      <c r="AB530" s="14" t="s">
        <v>446</v>
      </c>
      <c r="AC530" s="14" t="s">
        <v>447</v>
      </c>
    </row>
    <row r="531" customFormat="false" ht="15" hidden="false" customHeight="false" outlineLevel="0" collapsed="false">
      <c r="A531" s="3" t="s">
        <v>448</v>
      </c>
      <c r="C531" s="30" t="n">
        <v>0</v>
      </c>
      <c r="D531" s="30" t="n">
        <v>1</v>
      </c>
      <c r="E531" s="30" t="n">
        <v>2</v>
      </c>
      <c r="F531" s="30" t="n">
        <v>3</v>
      </c>
      <c r="G531" s="30" t="n">
        <v>4</v>
      </c>
      <c r="H531" s="30" t="n">
        <v>5</v>
      </c>
      <c r="I531" s="30" t="n">
        <v>6</v>
      </c>
      <c r="J531" s="30" t="n">
        <v>7</v>
      </c>
      <c r="K531" s="30" t="n">
        <v>8</v>
      </c>
      <c r="L531" s="30" t="n">
        <v>9</v>
      </c>
      <c r="M531" s="30" t="n">
        <v>10</v>
      </c>
      <c r="N531" s="30" t="n">
        <v>11</v>
      </c>
      <c r="O531" s="30" t="n">
        <v>12</v>
      </c>
      <c r="P531" s="30" t="n">
        <v>13</v>
      </c>
      <c r="Q531" s="30" t="n">
        <v>14</v>
      </c>
      <c r="R531" s="30" t="n">
        <v>15</v>
      </c>
      <c r="S531" s="30" t="n">
        <v>16</v>
      </c>
      <c r="T531" s="30" t="n">
        <v>17</v>
      </c>
      <c r="U531" s="30" t="n">
        <v>18</v>
      </c>
      <c r="V531" s="30" t="n">
        <v>19</v>
      </c>
      <c r="W531" s="30" t="n">
        <v>20</v>
      </c>
      <c r="X531" s="30" t="n">
        <v>21</v>
      </c>
      <c r="Y531" s="30" t="n">
        <v>22</v>
      </c>
      <c r="Z531" s="30" t="n">
        <v>23</v>
      </c>
      <c r="AA531" s="30" t="n">
        <v>24</v>
      </c>
      <c r="AB531" s="4" t="s">
        <v>449</v>
      </c>
      <c r="AC531" s="4" t="s">
        <v>450</v>
      </c>
    </row>
    <row r="532" customFormat="false" ht="15" hidden="false" customHeight="false" outlineLevel="0" collapsed="false">
      <c r="A532" s="9" t="s">
        <v>451</v>
      </c>
    </row>
    <row r="533" customFormat="false" ht="15" hidden="false" customHeight="false" outlineLevel="0" collapsed="false">
      <c r="A533" s="9" t="s">
        <v>452</v>
      </c>
      <c r="B533" s="3" t="s">
        <v>95</v>
      </c>
      <c r="D533" s="59" t="n">
        <f aca="false">Assumptions!$E$137</f>
        <v>233</v>
      </c>
      <c r="E533" s="59" t="n">
        <f aca="false">Assumptions!$E$138</f>
        <v>372</v>
      </c>
      <c r="F533" s="59" t="n">
        <f aca="false">Assumptions!$E$139</f>
        <v>558</v>
      </c>
      <c r="G533" s="59" t="n">
        <f aca="false">Assumptions!$E$140</f>
        <v>775</v>
      </c>
      <c r="H533" s="59" t="n">
        <f aca="false">Assumptions!$E$141</f>
        <v>1008</v>
      </c>
      <c r="I533" s="59" t="n">
        <f aca="false">Assumptions!$E$142</f>
        <v>1271</v>
      </c>
      <c r="J533" s="59" t="n">
        <f aca="false">Assumptions!$E$143</f>
        <v>1550</v>
      </c>
      <c r="K533" s="59" t="n">
        <f aca="false">Assumptions!$E$144</f>
        <v>1860</v>
      </c>
      <c r="L533" s="59" t="n">
        <f aca="false">Assumptions!$E$145</f>
        <v>2170</v>
      </c>
      <c r="M533" s="59" t="n">
        <f aca="false">Assumptions!$E$146</f>
        <v>2480</v>
      </c>
      <c r="N533" s="59" t="n">
        <f aca="false">Assumptions!$E$147</f>
        <v>2790</v>
      </c>
      <c r="O533" s="59" t="n">
        <f aca="false">Assumptions!$E$148</f>
        <v>3178</v>
      </c>
      <c r="P533" s="59" t="n">
        <f aca="false">Assumptions!$E$149</f>
        <v>3488</v>
      </c>
      <c r="Q533" s="59" t="n">
        <f aca="false">Assumptions!$E$150</f>
        <v>3798</v>
      </c>
      <c r="R533" s="59" t="n">
        <f aca="false">Assumptions!$E$151</f>
        <v>4030</v>
      </c>
      <c r="S533" s="59" t="n">
        <f aca="false">Assumptions!$E$152</f>
        <v>4263</v>
      </c>
      <c r="T533" s="59" t="n">
        <f aca="false">Assumptions!$E$153</f>
        <v>4495</v>
      </c>
      <c r="U533" s="59" t="n">
        <f aca="false">Assumptions!$E$154</f>
        <v>4728</v>
      </c>
      <c r="V533" s="59" t="n">
        <f aca="false">Assumptions!$E$155</f>
        <v>4888</v>
      </c>
      <c r="W533" s="59" t="n">
        <f aca="false">Assumptions!$E$156</f>
        <v>5048</v>
      </c>
      <c r="X533" s="59" t="n">
        <f aca="false">Assumptions!$E$157</f>
        <v>5208</v>
      </c>
      <c r="Y533" s="59" t="n">
        <f aca="false">Assumptions!$E$158</f>
        <v>5368</v>
      </c>
      <c r="Z533" s="59" t="n">
        <f aca="false">Assumptions!$E$159</f>
        <v>5528</v>
      </c>
      <c r="AA533" s="59" t="n">
        <f aca="false">Assumptions!$E$160</f>
        <v>5688</v>
      </c>
      <c r="AB533" s="24" t="n">
        <f aca="false">SUM(D533:O533)</f>
        <v>18245</v>
      </c>
      <c r="AC533" s="24" t="n">
        <f aca="false">SUM(P533:AA533)</f>
        <v>56530</v>
      </c>
    </row>
    <row r="534" customFormat="false" ht="15" hidden="false" customHeight="false" outlineLevel="0" collapsed="false">
      <c r="A534" s="3" t="s">
        <v>453</v>
      </c>
      <c r="B534" s="3" t="s">
        <v>454</v>
      </c>
      <c r="D534" s="35" t="n">
        <f aca="false">Assumptions!$E$10</f>
        <v>43</v>
      </c>
      <c r="E534" s="35" t="n">
        <f aca="false">Assumptions!$E$10</f>
        <v>43</v>
      </c>
      <c r="F534" s="35" t="n">
        <f aca="false">Assumptions!$E$10</f>
        <v>43</v>
      </c>
      <c r="G534" s="35" t="n">
        <f aca="false">Assumptions!$E$10</f>
        <v>43</v>
      </c>
      <c r="H534" s="35" t="n">
        <f aca="false">Assumptions!$E$10</f>
        <v>43</v>
      </c>
      <c r="I534" s="35" t="n">
        <f aca="false">Assumptions!$E$10</f>
        <v>43</v>
      </c>
      <c r="J534" s="35" t="n">
        <f aca="false">Assumptions!$E$10</f>
        <v>43</v>
      </c>
      <c r="K534" s="35" t="n">
        <f aca="false">Assumptions!$E$10</f>
        <v>43</v>
      </c>
      <c r="L534" s="35" t="n">
        <f aca="false">Assumptions!$E$10</f>
        <v>43</v>
      </c>
      <c r="M534" s="35" t="n">
        <f aca="false">Assumptions!$E$10</f>
        <v>43</v>
      </c>
      <c r="N534" s="35" t="n">
        <f aca="false">Assumptions!$E$10</f>
        <v>43</v>
      </c>
      <c r="O534" s="35" t="n">
        <f aca="false">Assumptions!$E$10</f>
        <v>43</v>
      </c>
      <c r="P534" s="35" t="n">
        <f aca="false">Assumptions!$E$10</f>
        <v>43</v>
      </c>
      <c r="Q534" s="35" t="n">
        <f aca="false">Assumptions!$E$10</f>
        <v>43</v>
      </c>
      <c r="R534" s="35" t="n">
        <f aca="false">Assumptions!$E$10</f>
        <v>43</v>
      </c>
      <c r="S534" s="35" t="n">
        <f aca="false">Assumptions!$E$10</f>
        <v>43</v>
      </c>
      <c r="T534" s="35" t="n">
        <f aca="false">Assumptions!$E$10</f>
        <v>43</v>
      </c>
      <c r="U534" s="35" t="n">
        <f aca="false">Assumptions!$E$10</f>
        <v>43</v>
      </c>
      <c r="V534" s="35" t="n">
        <f aca="false">Assumptions!$E$10</f>
        <v>43</v>
      </c>
      <c r="W534" s="35" t="n">
        <f aca="false">Assumptions!$E$10</f>
        <v>43</v>
      </c>
      <c r="X534" s="35" t="n">
        <f aca="false">Assumptions!$E$10</f>
        <v>43</v>
      </c>
      <c r="Y534" s="35" t="n">
        <f aca="false">Assumptions!$E$10</f>
        <v>43</v>
      </c>
      <c r="Z534" s="35" t="n">
        <f aca="false">Assumptions!$E$10</f>
        <v>43</v>
      </c>
      <c r="AA534" s="35" t="n">
        <f aca="false">Assumptions!$E$10</f>
        <v>43</v>
      </c>
      <c r="AB534" s="40" t="n">
        <f aca="false">IF(AB533=0,0,AB535/AB533)</f>
        <v>43</v>
      </c>
      <c r="AC534" s="40" t="n">
        <f aca="false">IF(AC533=0,0,AC535/AC533)</f>
        <v>43</v>
      </c>
    </row>
    <row r="535" customFormat="false" ht="15" hidden="false" customHeight="false" outlineLevel="0" collapsed="false">
      <c r="A535" s="9" t="s">
        <v>455</v>
      </c>
      <c r="B535" s="3" t="s">
        <v>62</v>
      </c>
      <c r="D535" s="29" t="n">
        <f aca="false">D533*D534</f>
        <v>10019</v>
      </c>
      <c r="E535" s="29" t="n">
        <f aca="false">E533*E534</f>
        <v>15996</v>
      </c>
      <c r="F535" s="29" t="n">
        <f aca="false">F533*F534</f>
        <v>23994</v>
      </c>
      <c r="G535" s="29" t="n">
        <f aca="false">G533*G534</f>
        <v>33325</v>
      </c>
      <c r="H535" s="29" t="n">
        <f aca="false">H533*H534</f>
        <v>43344</v>
      </c>
      <c r="I535" s="29" t="n">
        <f aca="false">I533*I534</f>
        <v>54653</v>
      </c>
      <c r="J535" s="29" t="n">
        <f aca="false">J533*J534</f>
        <v>66650</v>
      </c>
      <c r="K535" s="29" t="n">
        <f aca="false">K533*K534</f>
        <v>79980</v>
      </c>
      <c r="L535" s="29" t="n">
        <f aca="false">L533*L534</f>
        <v>93310</v>
      </c>
      <c r="M535" s="29" t="n">
        <f aca="false">M533*M534</f>
        <v>106640</v>
      </c>
      <c r="N535" s="29" t="n">
        <f aca="false">N533*N534</f>
        <v>119970</v>
      </c>
      <c r="O535" s="29" t="n">
        <f aca="false">O533*O534</f>
        <v>136654</v>
      </c>
      <c r="P535" s="29" t="n">
        <f aca="false">P533*P534</f>
        <v>149984</v>
      </c>
      <c r="Q535" s="29" t="n">
        <f aca="false">Q533*Q534</f>
        <v>163314</v>
      </c>
      <c r="R535" s="29" t="n">
        <f aca="false">R533*R534</f>
        <v>173290</v>
      </c>
      <c r="S535" s="29" t="n">
        <f aca="false">S533*S534</f>
        <v>183309</v>
      </c>
      <c r="T535" s="29" t="n">
        <f aca="false">T533*T534</f>
        <v>193285</v>
      </c>
      <c r="U535" s="29" t="n">
        <f aca="false">U533*U534</f>
        <v>203304</v>
      </c>
      <c r="V535" s="29" t="n">
        <f aca="false">V533*V534</f>
        <v>210184</v>
      </c>
      <c r="W535" s="29" t="n">
        <f aca="false">W533*W534</f>
        <v>217064</v>
      </c>
      <c r="X535" s="29" t="n">
        <f aca="false">X533*X534</f>
        <v>223944</v>
      </c>
      <c r="Y535" s="29" t="n">
        <f aca="false">Y533*Y534</f>
        <v>230824</v>
      </c>
      <c r="Z535" s="29" t="n">
        <f aca="false">Z533*Z534</f>
        <v>237704</v>
      </c>
      <c r="AA535" s="29" t="n">
        <f aca="false">AA533*AA534</f>
        <v>244584</v>
      </c>
      <c r="AB535" s="29" t="n">
        <f aca="false">SUM(D535:O535)</f>
        <v>784535</v>
      </c>
      <c r="AC535" s="29" t="n">
        <f aca="false">SUM(P535:AA535)</f>
        <v>2430790</v>
      </c>
    </row>
    <row r="536" customFormat="false" ht="15" hidden="false" customHeight="false" outlineLevel="0" collapsed="false">
      <c r="A536" s="3" t="s">
        <v>456</v>
      </c>
      <c r="B536" s="3" t="s">
        <v>62</v>
      </c>
      <c r="D536" s="38" t="n">
        <f aca="false">D535*D556</f>
        <v>3206.08</v>
      </c>
      <c r="E536" s="38" t="n">
        <f aca="false">E535*E556</f>
        <v>5118.72</v>
      </c>
      <c r="F536" s="38" t="n">
        <f aca="false">F535*F556</f>
        <v>7678.08</v>
      </c>
      <c r="G536" s="38" t="n">
        <f aca="false">G535*G556</f>
        <v>10664</v>
      </c>
      <c r="H536" s="38" t="n">
        <f aca="false">H535*H556</f>
        <v>13870.08</v>
      </c>
      <c r="I536" s="38" t="n">
        <f aca="false">I535*I556</f>
        <v>17488.96</v>
      </c>
      <c r="J536" s="38" t="n">
        <f aca="false">J535*J556</f>
        <v>21328</v>
      </c>
      <c r="K536" s="38" t="n">
        <f aca="false">K535*K556</f>
        <v>25593.6</v>
      </c>
      <c r="L536" s="38" t="n">
        <f aca="false">L535*L556</f>
        <v>29859.2</v>
      </c>
      <c r="M536" s="38" t="n">
        <f aca="false">M535*M556</f>
        <v>34124.8</v>
      </c>
      <c r="N536" s="38" t="n">
        <f aca="false">N535*N556</f>
        <v>38390.4</v>
      </c>
      <c r="O536" s="38" t="n">
        <f aca="false">O535*O556</f>
        <v>43729.28</v>
      </c>
      <c r="P536" s="38" t="n">
        <f aca="false">P535*P556</f>
        <v>47994.88</v>
      </c>
      <c r="Q536" s="38" t="n">
        <f aca="false">Q535*Q556</f>
        <v>52260.48</v>
      </c>
      <c r="R536" s="38" t="n">
        <f aca="false">R535*R556</f>
        <v>55452.8</v>
      </c>
      <c r="S536" s="38" t="n">
        <f aca="false">S535*S556</f>
        <v>58658.88</v>
      </c>
      <c r="T536" s="38" t="n">
        <f aca="false">T535*T556</f>
        <v>61851.2</v>
      </c>
      <c r="U536" s="38" t="n">
        <f aca="false">U535*U556</f>
        <v>65057.28</v>
      </c>
      <c r="V536" s="38" t="n">
        <f aca="false">V535*V556</f>
        <v>65157.04</v>
      </c>
      <c r="W536" s="38" t="n">
        <f aca="false">W535*W556</f>
        <v>67289.84</v>
      </c>
      <c r="X536" s="38" t="n">
        <f aca="false">X535*X556</f>
        <v>69422.64</v>
      </c>
      <c r="Y536" s="38" t="n">
        <f aca="false">Y535*Y556</f>
        <v>71555.44</v>
      </c>
      <c r="Z536" s="38" t="n">
        <f aca="false">Z535*Z556</f>
        <v>73688.24</v>
      </c>
      <c r="AA536" s="38" t="n">
        <f aca="false">AA535*AA556</f>
        <v>75821.04</v>
      </c>
      <c r="AB536" s="38" t="n">
        <f aca="false">SUM(D536:O536)</f>
        <v>251051.2</v>
      </c>
      <c r="AC536" s="38" t="n">
        <f aca="false">SUM(P536:AA536)</f>
        <v>764209.76</v>
      </c>
    </row>
    <row r="537" customFormat="false" ht="15" hidden="false" customHeight="false" outlineLevel="0" collapsed="false">
      <c r="A537" s="3" t="s">
        <v>457</v>
      </c>
      <c r="B537" s="3" t="s">
        <v>62</v>
      </c>
      <c r="D537" s="60" t="n">
        <f aca="false">D535*Assumptions!$E$19</f>
        <v>1502.85</v>
      </c>
      <c r="E537" s="60" t="n">
        <f aca="false">E535*Assumptions!$E$19</f>
        <v>2399.4</v>
      </c>
      <c r="F537" s="60" t="n">
        <f aca="false">F535*Assumptions!$E$19</f>
        <v>3599.1</v>
      </c>
      <c r="G537" s="60" t="n">
        <f aca="false">G535*Assumptions!$E$19</f>
        <v>4998.75</v>
      </c>
      <c r="H537" s="60" t="n">
        <f aca="false">H535*Assumptions!$E$19</f>
        <v>6501.6</v>
      </c>
      <c r="I537" s="60" t="n">
        <f aca="false">I535*Assumptions!$E$19</f>
        <v>8197.95</v>
      </c>
      <c r="J537" s="60" t="n">
        <f aca="false">J535*Assumptions!$E$19</f>
        <v>9997.5</v>
      </c>
      <c r="K537" s="60" t="n">
        <f aca="false">K535*Assumptions!$E$19</f>
        <v>11997</v>
      </c>
      <c r="L537" s="60" t="n">
        <f aca="false">L535*Assumptions!$E$19</f>
        <v>13996.5</v>
      </c>
      <c r="M537" s="60" t="n">
        <f aca="false">M535*Assumptions!$E$19</f>
        <v>15996</v>
      </c>
      <c r="N537" s="60" t="n">
        <f aca="false">N535*Assumptions!$E$19</f>
        <v>17995.5</v>
      </c>
      <c r="O537" s="60" t="n">
        <f aca="false">O535*Assumptions!$E$19</f>
        <v>20498.1</v>
      </c>
      <c r="P537" s="60" t="n">
        <f aca="false">P535*Assumptions!$E$19</f>
        <v>22497.6</v>
      </c>
      <c r="Q537" s="60" t="n">
        <f aca="false">Q535*Assumptions!$E$19</f>
        <v>24497.1</v>
      </c>
      <c r="R537" s="60" t="n">
        <f aca="false">R535*Assumptions!$E$19</f>
        <v>25993.5</v>
      </c>
      <c r="S537" s="60" t="n">
        <f aca="false">S535*Assumptions!$E$19</f>
        <v>27496.35</v>
      </c>
      <c r="T537" s="60" t="n">
        <f aca="false">T535*Assumptions!$E$19</f>
        <v>28992.75</v>
      </c>
      <c r="U537" s="60" t="n">
        <f aca="false">U535*Assumptions!$E$19</f>
        <v>30495.6</v>
      </c>
      <c r="V537" s="60" t="n">
        <f aca="false">V535*Assumptions!$E$19</f>
        <v>31527.6</v>
      </c>
      <c r="W537" s="60" t="n">
        <f aca="false">W535*Assumptions!$E$19</f>
        <v>32559.6</v>
      </c>
      <c r="X537" s="60" t="n">
        <f aca="false">X535*Assumptions!$E$19</f>
        <v>33591.6</v>
      </c>
      <c r="Y537" s="60" t="n">
        <f aca="false">Y535*Assumptions!$E$19</f>
        <v>34623.6</v>
      </c>
      <c r="Z537" s="60" t="n">
        <f aca="false">Z535*Assumptions!$E$19</f>
        <v>35655.6</v>
      </c>
      <c r="AA537" s="60" t="n">
        <f aca="false">AA535*Assumptions!$E$19</f>
        <v>36687.6</v>
      </c>
      <c r="AB537" s="38" t="n">
        <f aca="false">SUM(D537:O537)</f>
        <v>117680.25</v>
      </c>
      <c r="AC537" s="38" t="n">
        <f aca="false">SUM(P537:AA537)</f>
        <v>364618.5</v>
      </c>
    </row>
    <row r="538" customFormat="false" ht="15" hidden="false" customHeight="false" outlineLevel="0" collapsed="false">
      <c r="A538" s="3" t="s">
        <v>367</v>
      </c>
      <c r="B538" s="3" t="s">
        <v>62</v>
      </c>
      <c r="D538" s="38" t="n">
        <f aca="false">D533*D557</f>
        <v>1281.5</v>
      </c>
      <c r="E538" s="38" t="n">
        <f aca="false">E533*E557</f>
        <v>2046</v>
      </c>
      <c r="F538" s="38" t="n">
        <f aca="false">F533*F557</f>
        <v>3069</v>
      </c>
      <c r="G538" s="38" t="n">
        <f aca="false">G533*G557</f>
        <v>4262.5</v>
      </c>
      <c r="H538" s="38" t="n">
        <f aca="false">H533*H557</f>
        <v>5544</v>
      </c>
      <c r="I538" s="38" t="n">
        <f aca="false">I533*I557</f>
        <v>6990.5</v>
      </c>
      <c r="J538" s="38" t="n">
        <f aca="false">J533*J557</f>
        <v>8525</v>
      </c>
      <c r="K538" s="38" t="n">
        <f aca="false">K533*K557</f>
        <v>10230</v>
      </c>
      <c r="L538" s="38" t="n">
        <f aca="false">L533*L557</f>
        <v>11935</v>
      </c>
      <c r="M538" s="38" t="n">
        <f aca="false">M533*M557</f>
        <v>13640</v>
      </c>
      <c r="N538" s="38" t="n">
        <f aca="false">N533*N557</f>
        <v>15345</v>
      </c>
      <c r="O538" s="38" t="n">
        <f aca="false">O533*O557</f>
        <v>17479</v>
      </c>
      <c r="P538" s="38" t="n">
        <f aca="false">P533*P557</f>
        <v>19184</v>
      </c>
      <c r="Q538" s="38" t="n">
        <f aca="false">Q533*Q557</f>
        <v>20889</v>
      </c>
      <c r="R538" s="38" t="n">
        <f aca="false">R533*R557</f>
        <v>22165</v>
      </c>
      <c r="S538" s="38" t="n">
        <f aca="false">S533*S557</f>
        <v>23446.5</v>
      </c>
      <c r="T538" s="38" t="n">
        <f aca="false">T533*T557</f>
        <v>24722.5</v>
      </c>
      <c r="U538" s="38" t="n">
        <f aca="false">U533*U557</f>
        <v>26004</v>
      </c>
      <c r="V538" s="38" t="n">
        <f aca="false">V533*V557</f>
        <v>27690.52</v>
      </c>
      <c r="W538" s="38" t="n">
        <f aca="false">W533*W557</f>
        <v>28596.92</v>
      </c>
      <c r="X538" s="38" t="n">
        <f aca="false">X533*X557</f>
        <v>29503.32</v>
      </c>
      <c r="Y538" s="38" t="n">
        <f aca="false">Y533*Y557</f>
        <v>30409.72</v>
      </c>
      <c r="Z538" s="38" t="n">
        <f aca="false">Z533*Z557</f>
        <v>31316.12</v>
      </c>
      <c r="AA538" s="38" t="n">
        <f aca="false">AA533*AA557</f>
        <v>32222.52</v>
      </c>
      <c r="AB538" s="38" t="n">
        <f aca="false">SUM(D538:O538)</f>
        <v>100347.5</v>
      </c>
      <c r="AC538" s="38" t="n">
        <f aca="false">SUM(P538:AA538)</f>
        <v>316150.12</v>
      </c>
    </row>
    <row r="539" customFormat="false" ht="15" hidden="false" customHeight="false" outlineLevel="0" collapsed="false">
      <c r="A539" s="3" t="s">
        <v>458</v>
      </c>
      <c r="B539" s="3" t="s">
        <v>62</v>
      </c>
      <c r="D539" s="38" t="n">
        <f aca="false">D535*D558</f>
        <v>250.475</v>
      </c>
      <c r="E539" s="38" t="n">
        <f aca="false">E535*E558</f>
        <v>399.9</v>
      </c>
      <c r="F539" s="38" t="n">
        <f aca="false">F535*F558</f>
        <v>599.85</v>
      </c>
      <c r="G539" s="38" t="n">
        <f aca="false">G535*G558</f>
        <v>833.125</v>
      </c>
      <c r="H539" s="38" t="n">
        <f aca="false">H535*H558</f>
        <v>1083.6</v>
      </c>
      <c r="I539" s="38" t="n">
        <f aca="false">I535*I558</f>
        <v>1366.325</v>
      </c>
      <c r="J539" s="38" t="n">
        <f aca="false">J535*J558</f>
        <v>1666.25</v>
      </c>
      <c r="K539" s="38" t="n">
        <f aca="false">K535*K558</f>
        <v>1999.5</v>
      </c>
      <c r="L539" s="38" t="n">
        <f aca="false">L535*L558</f>
        <v>2332.75</v>
      </c>
      <c r="M539" s="38" t="n">
        <f aca="false">M535*M558</f>
        <v>2666</v>
      </c>
      <c r="N539" s="38" t="n">
        <f aca="false">N535*N558</f>
        <v>2999.25</v>
      </c>
      <c r="O539" s="38" t="n">
        <f aca="false">O535*O558</f>
        <v>3416.35</v>
      </c>
      <c r="P539" s="38" t="n">
        <f aca="false">P535*P558</f>
        <v>3749.6</v>
      </c>
      <c r="Q539" s="38" t="n">
        <f aca="false">Q535*Q558</f>
        <v>4082.85</v>
      </c>
      <c r="R539" s="38" t="n">
        <f aca="false">R535*R558</f>
        <v>4332.25</v>
      </c>
      <c r="S539" s="38" t="n">
        <f aca="false">S535*S558</f>
        <v>4582.725</v>
      </c>
      <c r="T539" s="38" t="n">
        <f aca="false">T535*T558</f>
        <v>4832.125</v>
      </c>
      <c r="U539" s="38" t="n">
        <f aca="false">U535*U558</f>
        <v>5082.6</v>
      </c>
      <c r="V539" s="38" t="n">
        <f aca="false">V535*V558</f>
        <v>4203.68</v>
      </c>
      <c r="W539" s="38" t="n">
        <f aca="false">W535*W558</f>
        <v>4341.28</v>
      </c>
      <c r="X539" s="38" t="n">
        <f aca="false">X535*X558</f>
        <v>4478.88</v>
      </c>
      <c r="Y539" s="38" t="n">
        <f aca="false">Y535*Y558</f>
        <v>4616.48</v>
      </c>
      <c r="Z539" s="38" t="n">
        <f aca="false">Z535*Z558</f>
        <v>4754.08</v>
      </c>
      <c r="AA539" s="38" t="n">
        <f aca="false">AA535*AA558</f>
        <v>4891.68</v>
      </c>
      <c r="AB539" s="38" t="n">
        <f aca="false">SUM(D539:O539)</f>
        <v>19613.375</v>
      </c>
      <c r="AC539" s="38" t="n">
        <f aca="false">SUM(P539:AA539)</f>
        <v>53948.23</v>
      </c>
    </row>
    <row r="540" customFormat="false" ht="15" hidden="false" customHeight="false" outlineLevel="0" collapsed="false">
      <c r="A540" s="3" t="s">
        <v>459</v>
      </c>
      <c r="B540" s="3" t="s">
        <v>62</v>
      </c>
      <c r="D540" s="60" t="n">
        <f aca="false">D535*Assumptions!$E$21</f>
        <v>200.38</v>
      </c>
      <c r="E540" s="60" t="n">
        <f aca="false">E535*Assumptions!$E$21</f>
        <v>319.92</v>
      </c>
      <c r="F540" s="60" t="n">
        <f aca="false">F535*Assumptions!$E$21</f>
        <v>479.88</v>
      </c>
      <c r="G540" s="60" t="n">
        <f aca="false">G535*Assumptions!$E$21</f>
        <v>666.5</v>
      </c>
      <c r="H540" s="60" t="n">
        <f aca="false">H535*Assumptions!$E$21</f>
        <v>866.88</v>
      </c>
      <c r="I540" s="60" t="n">
        <f aca="false">I535*Assumptions!$E$21</f>
        <v>1093.06</v>
      </c>
      <c r="J540" s="60" t="n">
        <f aca="false">J535*Assumptions!$E$21</f>
        <v>1333</v>
      </c>
      <c r="K540" s="60" t="n">
        <f aca="false">K535*Assumptions!$E$21</f>
        <v>1599.6</v>
      </c>
      <c r="L540" s="60" t="n">
        <f aca="false">L535*Assumptions!$E$21</f>
        <v>1866.2</v>
      </c>
      <c r="M540" s="60" t="n">
        <f aca="false">M535*Assumptions!$E$21</f>
        <v>2132.8</v>
      </c>
      <c r="N540" s="60" t="n">
        <f aca="false">N535*Assumptions!$E$21</f>
        <v>2399.4</v>
      </c>
      <c r="O540" s="60" t="n">
        <f aca="false">O535*Assumptions!$E$21</f>
        <v>2733.08</v>
      </c>
      <c r="P540" s="60" t="n">
        <f aca="false">P535*Assumptions!$E$21</f>
        <v>2999.68</v>
      </c>
      <c r="Q540" s="60" t="n">
        <f aca="false">Q535*Assumptions!$E$21</f>
        <v>3266.28</v>
      </c>
      <c r="R540" s="60" t="n">
        <f aca="false">R535*Assumptions!$E$21</f>
        <v>3465.8</v>
      </c>
      <c r="S540" s="60" t="n">
        <f aca="false">S535*Assumptions!$E$21</f>
        <v>3666.18</v>
      </c>
      <c r="T540" s="60" t="n">
        <f aca="false">T535*Assumptions!$E$21</f>
        <v>3865.7</v>
      </c>
      <c r="U540" s="60" t="n">
        <f aca="false">U535*Assumptions!$E$21</f>
        <v>4066.08</v>
      </c>
      <c r="V540" s="60" t="n">
        <f aca="false">V535*Assumptions!$E$21</f>
        <v>4203.68</v>
      </c>
      <c r="W540" s="60" t="n">
        <f aca="false">W535*Assumptions!$E$21</f>
        <v>4341.28</v>
      </c>
      <c r="X540" s="60" t="n">
        <f aca="false">X535*Assumptions!$E$21</f>
        <v>4478.88</v>
      </c>
      <c r="Y540" s="60" t="n">
        <f aca="false">Y535*Assumptions!$E$21</f>
        <v>4616.48</v>
      </c>
      <c r="Z540" s="60" t="n">
        <f aca="false">Z535*Assumptions!$E$21</f>
        <v>4754.08</v>
      </c>
      <c r="AA540" s="60" t="n">
        <f aca="false">AA535*Assumptions!$E$21</f>
        <v>4891.68</v>
      </c>
      <c r="AB540" s="38" t="n">
        <f aca="false">SUM(D540:O540)</f>
        <v>15690.7</v>
      </c>
      <c r="AC540" s="38" t="n">
        <f aca="false">SUM(P540:AA540)</f>
        <v>48615.8</v>
      </c>
    </row>
    <row r="541" customFormat="false" ht="15" hidden="false" customHeight="false" outlineLevel="0" collapsed="false">
      <c r="A541" s="3" t="s">
        <v>369</v>
      </c>
      <c r="B541" s="3" t="s">
        <v>62</v>
      </c>
      <c r="D541" s="38" t="n">
        <f aca="false">D535*D559</f>
        <v>2604.94</v>
      </c>
      <c r="E541" s="38" t="n">
        <f aca="false">E535*E559</f>
        <v>4158.96</v>
      </c>
      <c r="F541" s="38" t="n">
        <f aca="false">F535*F559</f>
        <v>6238.44</v>
      </c>
      <c r="G541" s="38" t="n">
        <f aca="false">G535*G559</f>
        <v>5998.5</v>
      </c>
      <c r="H541" s="38" t="n">
        <f aca="false">H535*H559</f>
        <v>7801.92</v>
      </c>
      <c r="I541" s="38" t="n">
        <f aca="false">I535*I559</f>
        <v>9837.54</v>
      </c>
      <c r="J541" s="38" t="n">
        <f aca="false">J535*J559</f>
        <v>7331.5</v>
      </c>
      <c r="K541" s="38" t="n">
        <f aca="false">K535*K559</f>
        <v>8797.8</v>
      </c>
      <c r="L541" s="38" t="n">
        <f aca="false">L535*L559</f>
        <v>10264.1</v>
      </c>
      <c r="M541" s="38" t="n">
        <f aca="false">M535*M559</f>
        <v>11730.4</v>
      </c>
      <c r="N541" s="38" t="n">
        <f aca="false">N535*N559</f>
        <v>13196.7</v>
      </c>
      <c r="O541" s="38" t="n">
        <f aca="false">O535*O559</f>
        <v>15031.94</v>
      </c>
      <c r="P541" s="38" t="n">
        <f aca="false">P535*P559</f>
        <v>11998.72</v>
      </c>
      <c r="Q541" s="38" t="n">
        <f aca="false">Q535*Q559</f>
        <v>13065.12</v>
      </c>
      <c r="R541" s="38" t="n">
        <f aca="false">R535*R559</f>
        <v>13863.2</v>
      </c>
      <c r="S541" s="38" t="n">
        <f aca="false">S535*S559</f>
        <v>14664.72</v>
      </c>
      <c r="T541" s="38" t="n">
        <f aca="false">T535*T559</f>
        <v>15462.8</v>
      </c>
      <c r="U541" s="38" t="n">
        <f aca="false">U535*U559</f>
        <v>16264.32</v>
      </c>
      <c r="V541" s="38" t="n">
        <f aca="false">V535*V559</f>
        <v>19967.48</v>
      </c>
      <c r="W541" s="38" t="n">
        <f aca="false">W535*W559</f>
        <v>20621.08</v>
      </c>
      <c r="X541" s="38" t="n">
        <f aca="false">X535*X559</f>
        <v>21274.68</v>
      </c>
      <c r="Y541" s="38" t="n">
        <f aca="false">Y535*Y559</f>
        <v>21928.28</v>
      </c>
      <c r="Z541" s="38" t="n">
        <f aca="false">Z535*Z559</f>
        <v>22581.88</v>
      </c>
      <c r="AA541" s="38" t="n">
        <f aca="false">AA535*AA559</f>
        <v>23235.48</v>
      </c>
      <c r="AB541" s="38" t="n">
        <f aca="false">SUM(D541:O541)</f>
        <v>102992.74</v>
      </c>
      <c r="AC541" s="38" t="n">
        <f aca="false">SUM(P541:AA541)</f>
        <v>214927.76</v>
      </c>
    </row>
    <row r="542" customFormat="false" ht="15" hidden="false" customHeight="false" outlineLevel="0" collapsed="false">
      <c r="A542" s="9" t="s">
        <v>460</v>
      </c>
      <c r="B542" s="3" t="s">
        <v>62</v>
      </c>
      <c r="D542" s="29" t="n">
        <f aca="false">D535-D536-D537-D538-D539-D540-D541</f>
        <v>972.775</v>
      </c>
      <c r="E542" s="29" t="n">
        <f aca="false">E535-E536-E537-E538-E539-E540-E541</f>
        <v>1553.1</v>
      </c>
      <c r="F542" s="29" t="n">
        <f aca="false">F535-F536-F537-F538-F539-F540-F541</f>
        <v>2329.65</v>
      </c>
      <c r="G542" s="29" t="n">
        <f aca="false">G535-G536-G537-G538-G539-G540-G541</f>
        <v>5901.625</v>
      </c>
      <c r="H542" s="29" t="n">
        <f aca="false">H535-H536-H537-H538-H539-H540-H541</f>
        <v>7675.92</v>
      </c>
      <c r="I542" s="29" t="n">
        <f aca="false">I535-I536-I537-I538-I539-I540-I541</f>
        <v>9678.665</v>
      </c>
      <c r="J542" s="29" t="n">
        <f aca="false">J535-J536-J537-J538-J539-J540-J541</f>
        <v>16468.75</v>
      </c>
      <c r="K542" s="29" t="n">
        <f aca="false">K535-K536-K537-K538-K539-K540-K541</f>
        <v>19762.5</v>
      </c>
      <c r="L542" s="29" t="n">
        <f aca="false">L535-L536-L537-L538-L539-L540-L541</f>
        <v>23056.25</v>
      </c>
      <c r="M542" s="29" t="n">
        <f aca="false">M535-M536-M537-M538-M539-M540-M541</f>
        <v>26350</v>
      </c>
      <c r="N542" s="29" t="n">
        <f aca="false">N535-N536-N537-N538-N539-N540-N541</f>
        <v>29643.75</v>
      </c>
      <c r="O542" s="29" t="n">
        <f aca="false">O535-O536-O537-O538-O539-O540-O541</f>
        <v>33766.25</v>
      </c>
      <c r="P542" s="29" t="n">
        <f aca="false">P535-P536-P537-P538-P539-P540-P541</f>
        <v>41559.52</v>
      </c>
      <c r="Q542" s="29" t="n">
        <f aca="false">Q535-Q536-Q537-Q538-Q539-Q540-Q541</f>
        <v>45253.17</v>
      </c>
      <c r="R542" s="29" t="n">
        <f aca="false">R535-R536-R537-R538-R539-R540-R541</f>
        <v>48017.45</v>
      </c>
      <c r="S542" s="29" t="n">
        <f aca="false">S535-S536-S537-S538-S539-S540-S541</f>
        <v>50793.645</v>
      </c>
      <c r="T542" s="29" t="n">
        <f aca="false">T535-T536-T537-T538-T539-T540-T541</f>
        <v>53557.925</v>
      </c>
      <c r="U542" s="29" t="n">
        <f aca="false">U535-U536-U537-U538-U539-U540-U541</f>
        <v>56334.12</v>
      </c>
      <c r="V542" s="29" t="n">
        <f aca="false">V535-V536-V537-V538-V539-V540-V541</f>
        <v>57434</v>
      </c>
      <c r="W542" s="29" t="n">
        <f aca="false">W535-W536-W537-W538-W539-W540-W541</f>
        <v>59314</v>
      </c>
      <c r="X542" s="29" t="n">
        <f aca="false">X535-X536-X537-X538-X539-X540-X541</f>
        <v>61194</v>
      </c>
      <c r="Y542" s="29" t="n">
        <f aca="false">Y535-Y536-Y537-Y538-Y539-Y540-Y541</f>
        <v>63074</v>
      </c>
      <c r="Z542" s="29" t="n">
        <f aca="false">Z535-Z536-Z537-Z538-Z539-Z540-Z541</f>
        <v>64954</v>
      </c>
      <c r="AA542" s="29" t="n">
        <f aca="false">AA535-AA536-AA537-AA538-AA539-AA540-AA541</f>
        <v>66834</v>
      </c>
      <c r="AB542" s="29" t="n">
        <f aca="false">SUM(D542:O542)</f>
        <v>177159.235</v>
      </c>
      <c r="AC542" s="29" t="n">
        <f aca="false">SUM(P542:AA542)</f>
        <v>668319.83</v>
      </c>
    </row>
    <row r="543" customFormat="false" ht="15" hidden="false" customHeight="false" outlineLevel="0" collapsed="false">
      <c r="A543" s="3" t="s">
        <v>461</v>
      </c>
      <c r="B543" s="3" t="s">
        <v>62</v>
      </c>
      <c r="D543" s="60" t="n">
        <f aca="false">IF(D$531&gt;=Assumptions!$E$26,Assumptions!$E$45,Assumptions!$E$17)</f>
        <v>850</v>
      </c>
      <c r="E543" s="60" t="n">
        <f aca="false">IF(E$531&gt;=Assumptions!$E$26,Assumptions!$E$45,Assumptions!$E$17)</f>
        <v>850</v>
      </c>
      <c r="F543" s="60" t="n">
        <f aca="false">IF(F$531&gt;=Assumptions!$E$26,Assumptions!$E$45,Assumptions!$E$17)</f>
        <v>850</v>
      </c>
      <c r="G543" s="60" t="n">
        <f aca="false">IF(G$531&gt;=Assumptions!$E$26,Assumptions!$E$45,Assumptions!$E$17)</f>
        <v>850</v>
      </c>
      <c r="H543" s="60" t="n">
        <f aca="false">IF(H$531&gt;=Assumptions!$E$26,Assumptions!$E$45,Assumptions!$E$17)</f>
        <v>850</v>
      </c>
      <c r="I543" s="60" t="n">
        <f aca="false">IF(I$531&gt;=Assumptions!$E$26,Assumptions!$E$45,Assumptions!$E$17)</f>
        <v>850</v>
      </c>
      <c r="J543" s="60" t="n">
        <f aca="false">IF(J$531&gt;=Assumptions!$E$26,Assumptions!$E$45,Assumptions!$E$17)</f>
        <v>850</v>
      </c>
      <c r="K543" s="60" t="n">
        <f aca="false">IF(K$531&gt;=Assumptions!$E$26,Assumptions!$E$45,Assumptions!$E$17)</f>
        <v>850</v>
      </c>
      <c r="L543" s="60" t="n">
        <f aca="false">IF(L$531&gt;=Assumptions!$E$26,Assumptions!$E$45,Assumptions!$E$17)</f>
        <v>850</v>
      </c>
      <c r="M543" s="60" t="n">
        <f aca="false">IF(M$531&gt;=Assumptions!$E$26,Assumptions!$E$45,Assumptions!$E$17)</f>
        <v>850</v>
      </c>
      <c r="N543" s="60" t="n">
        <f aca="false">IF(N$531&gt;=Assumptions!$E$26,Assumptions!$E$45,Assumptions!$E$17)</f>
        <v>850</v>
      </c>
      <c r="O543" s="60" t="n">
        <f aca="false">IF(O$531&gt;=Assumptions!$E$26,Assumptions!$E$45,Assumptions!$E$17)</f>
        <v>850</v>
      </c>
      <c r="P543" s="60" t="n">
        <f aca="false">IF(P$531&gt;=Assumptions!$E$26,Assumptions!$E$45,Assumptions!$E$17)</f>
        <v>850</v>
      </c>
      <c r="Q543" s="60" t="n">
        <f aca="false">IF(Q$531&gt;=Assumptions!$E$26,Assumptions!$E$45,Assumptions!$E$17)</f>
        <v>850</v>
      </c>
      <c r="R543" s="60" t="n">
        <f aca="false">IF(R$531&gt;=Assumptions!$E$26,Assumptions!$E$45,Assumptions!$E$17)</f>
        <v>850</v>
      </c>
      <c r="S543" s="60" t="n">
        <f aca="false">IF(S$531&gt;=Assumptions!$E$26,Assumptions!$E$45,Assumptions!$E$17)</f>
        <v>850</v>
      </c>
      <c r="T543" s="60" t="n">
        <f aca="false">IF(T$531&gt;=Assumptions!$E$26,Assumptions!$E$45,Assumptions!$E$17)</f>
        <v>850</v>
      </c>
      <c r="U543" s="60" t="n">
        <f aca="false">IF(U$531&gt;=Assumptions!$E$26,Assumptions!$E$45,Assumptions!$E$17)</f>
        <v>850</v>
      </c>
      <c r="V543" s="60" t="n">
        <f aca="false">IF(V$531&gt;=Assumptions!$E$26,Assumptions!$E$45,Assumptions!$E$17)</f>
        <v>1950</v>
      </c>
      <c r="W543" s="60" t="n">
        <f aca="false">IF(W$531&gt;=Assumptions!$E$26,Assumptions!$E$45,Assumptions!$E$17)</f>
        <v>1950</v>
      </c>
      <c r="X543" s="60" t="n">
        <f aca="false">IF(X$531&gt;=Assumptions!$E$26,Assumptions!$E$45,Assumptions!$E$17)</f>
        <v>1950</v>
      </c>
      <c r="Y543" s="60" t="n">
        <f aca="false">IF(Y$531&gt;=Assumptions!$E$26,Assumptions!$E$45,Assumptions!$E$17)</f>
        <v>1950</v>
      </c>
      <c r="Z543" s="60" t="n">
        <f aca="false">IF(Z$531&gt;=Assumptions!$E$26,Assumptions!$E$45,Assumptions!$E$17)</f>
        <v>1950</v>
      </c>
      <c r="AA543" s="60" t="n">
        <f aca="false">IF(AA$531&gt;=Assumptions!$E$26,Assumptions!$E$45,Assumptions!$E$17)</f>
        <v>1950</v>
      </c>
      <c r="AB543" s="38" t="n">
        <f aca="false">SUM(D543:O543)</f>
        <v>10200</v>
      </c>
      <c r="AC543" s="38" t="n">
        <f aca="false">SUM(P543:AA543)</f>
        <v>16800</v>
      </c>
    </row>
    <row r="544" customFormat="false" ht="15" hidden="false" customHeight="false" outlineLevel="0" collapsed="false">
      <c r="A544" s="3" t="s">
        <v>462</v>
      </c>
      <c r="B544" s="3" t="s">
        <v>62</v>
      </c>
      <c r="D544" s="60" t="n">
        <f aca="false">Assumptions!$E$22</f>
        <v>39.99</v>
      </c>
      <c r="E544" s="60" t="n">
        <f aca="false">Assumptions!$E$22</f>
        <v>39.99</v>
      </c>
      <c r="F544" s="60" t="n">
        <f aca="false">Assumptions!$E$22</f>
        <v>39.99</v>
      </c>
      <c r="G544" s="60" t="n">
        <f aca="false">Assumptions!$E$22</f>
        <v>39.99</v>
      </c>
      <c r="H544" s="60" t="n">
        <f aca="false">Assumptions!$E$22</f>
        <v>39.99</v>
      </c>
      <c r="I544" s="60" t="n">
        <f aca="false">Assumptions!$E$22</f>
        <v>39.99</v>
      </c>
      <c r="J544" s="60" t="n">
        <f aca="false">Assumptions!$E$22</f>
        <v>39.99</v>
      </c>
      <c r="K544" s="60" t="n">
        <f aca="false">Assumptions!$E$22</f>
        <v>39.99</v>
      </c>
      <c r="L544" s="60" t="n">
        <f aca="false">Assumptions!$E$22</f>
        <v>39.99</v>
      </c>
      <c r="M544" s="60" t="n">
        <f aca="false">Assumptions!$E$22</f>
        <v>39.99</v>
      </c>
      <c r="N544" s="60" t="n">
        <f aca="false">Assumptions!$E$22</f>
        <v>39.99</v>
      </c>
      <c r="O544" s="60" t="n">
        <f aca="false">Assumptions!$E$22</f>
        <v>39.99</v>
      </c>
      <c r="P544" s="60" t="n">
        <f aca="false">Assumptions!$E$22</f>
        <v>39.99</v>
      </c>
      <c r="Q544" s="60" t="n">
        <f aca="false">Assumptions!$E$22</f>
        <v>39.99</v>
      </c>
      <c r="R544" s="60" t="n">
        <f aca="false">Assumptions!$E$22</f>
        <v>39.99</v>
      </c>
      <c r="S544" s="60" t="n">
        <f aca="false">Assumptions!$E$22</f>
        <v>39.99</v>
      </c>
      <c r="T544" s="60" t="n">
        <f aca="false">Assumptions!$E$22</f>
        <v>39.99</v>
      </c>
      <c r="U544" s="60" t="n">
        <f aca="false">Assumptions!$E$22</f>
        <v>39.99</v>
      </c>
      <c r="V544" s="60" t="n">
        <f aca="false">Assumptions!$E$22</f>
        <v>39.99</v>
      </c>
      <c r="W544" s="60" t="n">
        <f aca="false">Assumptions!$E$22</f>
        <v>39.99</v>
      </c>
      <c r="X544" s="60" t="n">
        <f aca="false">Assumptions!$E$22</f>
        <v>39.99</v>
      </c>
      <c r="Y544" s="60" t="n">
        <f aca="false">Assumptions!$E$22</f>
        <v>39.99</v>
      </c>
      <c r="Z544" s="60" t="n">
        <f aca="false">Assumptions!$E$22</f>
        <v>39.99</v>
      </c>
      <c r="AA544" s="60" t="n">
        <f aca="false">Assumptions!$E$22</f>
        <v>39.99</v>
      </c>
      <c r="AB544" s="38" t="n">
        <f aca="false">SUM(D544:O544)</f>
        <v>479.88</v>
      </c>
      <c r="AC544" s="38" t="n">
        <f aca="false">SUM(P544:AA544)</f>
        <v>479.88</v>
      </c>
    </row>
    <row r="545" customFormat="false" ht="15" hidden="false" customHeight="false" outlineLevel="0" collapsed="false">
      <c r="A545" s="3" t="s">
        <v>463</v>
      </c>
      <c r="B545" s="3" t="s">
        <v>62</v>
      </c>
      <c r="D545" s="60" t="n">
        <f aca="false">IF(D$531=1,Assumptions!$E$23,0)</f>
        <v>9500</v>
      </c>
      <c r="E545" s="60" t="n">
        <f aca="false">IF(E$531=1,Assumptions!$E$23,0)</f>
        <v>0</v>
      </c>
      <c r="F545" s="60" t="n">
        <f aca="false">IF(F$531=1,Assumptions!$E$23,0)</f>
        <v>0</v>
      </c>
      <c r="G545" s="60" t="n">
        <f aca="false">IF(G$531=1,Assumptions!$E$23,0)</f>
        <v>0</v>
      </c>
      <c r="H545" s="60" t="n">
        <f aca="false">IF(H$531=1,Assumptions!$E$23,0)</f>
        <v>0</v>
      </c>
      <c r="I545" s="60" t="n">
        <f aca="false">IF(I$531=1,Assumptions!$E$23,0)</f>
        <v>0</v>
      </c>
      <c r="J545" s="60" t="n">
        <f aca="false">IF(J$531=1,Assumptions!$E$23,0)</f>
        <v>0</v>
      </c>
      <c r="K545" s="60" t="n">
        <f aca="false">IF(K$531=1,Assumptions!$E$23,0)</f>
        <v>0</v>
      </c>
      <c r="L545" s="60" t="n">
        <f aca="false">IF(L$531=1,Assumptions!$E$23,0)</f>
        <v>0</v>
      </c>
      <c r="M545" s="60" t="n">
        <f aca="false">IF(M$531=1,Assumptions!$E$23,0)</f>
        <v>0</v>
      </c>
      <c r="N545" s="60" t="n">
        <f aca="false">IF(N$531=1,Assumptions!$E$23,0)</f>
        <v>0</v>
      </c>
      <c r="O545" s="60" t="n">
        <f aca="false">IF(O$531=1,Assumptions!$E$23,0)</f>
        <v>0</v>
      </c>
      <c r="P545" s="60" t="n">
        <f aca="false">IF(P$531=1,Assumptions!$E$23,0)</f>
        <v>0</v>
      </c>
      <c r="Q545" s="60" t="n">
        <f aca="false">IF(Q$531=1,Assumptions!$E$23,0)</f>
        <v>0</v>
      </c>
      <c r="R545" s="60" t="n">
        <f aca="false">IF(R$531=1,Assumptions!$E$23,0)</f>
        <v>0</v>
      </c>
      <c r="S545" s="60" t="n">
        <f aca="false">IF(S$531=1,Assumptions!$E$23,0)</f>
        <v>0</v>
      </c>
      <c r="T545" s="60" t="n">
        <f aca="false">IF(T$531=1,Assumptions!$E$23,0)</f>
        <v>0</v>
      </c>
      <c r="U545" s="60" t="n">
        <f aca="false">IF(U$531=1,Assumptions!$E$23,0)</f>
        <v>0</v>
      </c>
      <c r="V545" s="60" t="n">
        <f aca="false">IF(V$531=1,Assumptions!$E$23,0)</f>
        <v>0</v>
      </c>
      <c r="W545" s="60" t="n">
        <f aca="false">IF(W$531=1,Assumptions!$E$23,0)</f>
        <v>0</v>
      </c>
      <c r="X545" s="60" t="n">
        <f aca="false">IF(X$531=1,Assumptions!$E$23,0)</f>
        <v>0</v>
      </c>
      <c r="Y545" s="60" t="n">
        <f aca="false">IF(Y$531=1,Assumptions!$E$23,0)</f>
        <v>0</v>
      </c>
      <c r="Z545" s="60" t="n">
        <f aca="false">IF(Z$531=1,Assumptions!$E$23,0)</f>
        <v>0</v>
      </c>
      <c r="AA545" s="60" t="n">
        <f aca="false">IF(AA$531=1,Assumptions!$E$23,0)</f>
        <v>0</v>
      </c>
      <c r="AB545" s="38" t="n">
        <f aca="false">SUM(D545:O545)</f>
        <v>9500</v>
      </c>
      <c r="AC545" s="38" t="n">
        <f aca="false">SUM(P545:AA545)</f>
        <v>0</v>
      </c>
    </row>
    <row r="546" customFormat="false" ht="15" hidden="false" customHeight="false" outlineLevel="0" collapsed="false">
      <c r="A546" s="3" t="s">
        <v>464</v>
      </c>
      <c r="B546" s="3" t="s">
        <v>62</v>
      </c>
      <c r="D546" s="60" t="n">
        <f aca="false">IF(D$531&gt;=Assumptions!$E$26,(Assumptions!$E$94+Assumptions!$E$95+Assumptions!$E$96+Assumptions!$E$97)/(24-Assumptions!$E$26+1),0)</f>
        <v>0</v>
      </c>
      <c r="E546" s="60" t="n">
        <f aca="false">IF(E$531&gt;=Assumptions!$E$26,(Assumptions!$E$94+Assumptions!$E$95+Assumptions!$E$96+Assumptions!$E$97)/(24-Assumptions!$E$26+1),0)</f>
        <v>0</v>
      </c>
      <c r="F546" s="60" t="n">
        <f aca="false">IF(F$531&gt;=Assumptions!$E$26,(Assumptions!$E$94+Assumptions!$E$95+Assumptions!$E$96+Assumptions!$E$97)/(24-Assumptions!$E$26+1),0)</f>
        <v>0</v>
      </c>
      <c r="G546" s="60" t="n">
        <f aca="false">IF(G$531&gt;=Assumptions!$E$26,(Assumptions!$E$94+Assumptions!$E$95+Assumptions!$E$96+Assumptions!$E$97)/(24-Assumptions!$E$26+1),0)</f>
        <v>0</v>
      </c>
      <c r="H546" s="60" t="n">
        <f aca="false">IF(H$531&gt;=Assumptions!$E$26,(Assumptions!$E$94+Assumptions!$E$95+Assumptions!$E$96+Assumptions!$E$97)/(24-Assumptions!$E$26+1),0)</f>
        <v>0</v>
      </c>
      <c r="I546" s="60" t="n">
        <f aca="false">IF(I$531&gt;=Assumptions!$E$26,(Assumptions!$E$94+Assumptions!$E$95+Assumptions!$E$96+Assumptions!$E$97)/(24-Assumptions!$E$26+1),0)</f>
        <v>0</v>
      </c>
      <c r="J546" s="60" t="n">
        <f aca="false">IF(J$531&gt;=Assumptions!$E$26,(Assumptions!$E$94+Assumptions!$E$95+Assumptions!$E$96+Assumptions!$E$97)/(24-Assumptions!$E$26+1),0)</f>
        <v>0</v>
      </c>
      <c r="K546" s="60" t="n">
        <f aca="false">IF(K$531&gt;=Assumptions!$E$26,(Assumptions!$E$94+Assumptions!$E$95+Assumptions!$E$96+Assumptions!$E$97)/(24-Assumptions!$E$26+1),0)</f>
        <v>0</v>
      </c>
      <c r="L546" s="60" t="n">
        <f aca="false">IF(L$531&gt;=Assumptions!$E$26,(Assumptions!$E$94+Assumptions!$E$95+Assumptions!$E$96+Assumptions!$E$97)/(24-Assumptions!$E$26+1),0)</f>
        <v>0</v>
      </c>
      <c r="M546" s="60" t="n">
        <f aca="false">IF(M$531&gt;=Assumptions!$E$26,(Assumptions!$E$94+Assumptions!$E$95+Assumptions!$E$96+Assumptions!$E$97)/(24-Assumptions!$E$26+1),0)</f>
        <v>0</v>
      </c>
      <c r="N546" s="60" t="n">
        <f aca="false">IF(N$531&gt;=Assumptions!$E$26,(Assumptions!$E$94+Assumptions!$E$95+Assumptions!$E$96+Assumptions!$E$97)/(24-Assumptions!$E$26+1),0)</f>
        <v>0</v>
      </c>
      <c r="O546" s="60" t="n">
        <f aca="false">IF(O$531&gt;=Assumptions!$E$26,(Assumptions!$E$94+Assumptions!$E$95+Assumptions!$E$96+Assumptions!$E$97)/(24-Assumptions!$E$26+1),0)</f>
        <v>0</v>
      </c>
      <c r="P546" s="60" t="n">
        <f aca="false">IF(P$531&gt;=Assumptions!$E$26,(Assumptions!$E$94+Assumptions!$E$95+Assumptions!$E$96+Assumptions!$E$97)/(24-Assumptions!$E$26+1),0)</f>
        <v>0</v>
      </c>
      <c r="Q546" s="60" t="n">
        <f aca="false">IF(Q$531&gt;=Assumptions!$E$26,(Assumptions!$E$94+Assumptions!$E$95+Assumptions!$E$96+Assumptions!$E$97)/(24-Assumptions!$E$26+1),0)</f>
        <v>0</v>
      </c>
      <c r="R546" s="60" t="n">
        <f aca="false">IF(R$531&gt;=Assumptions!$E$26,(Assumptions!$E$94+Assumptions!$E$95+Assumptions!$E$96+Assumptions!$E$97)/(24-Assumptions!$E$26+1),0)</f>
        <v>0</v>
      </c>
      <c r="S546" s="60" t="n">
        <f aca="false">IF(S$531&gt;=Assumptions!$E$26,(Assumptions!$E$94+Assumptions!$E$95+Assumptions!$E$96+Assumptions!$E$97)/(24-Assumptions!$E$26+1),0)</f>
        <v>0</v>
      </c>
      <c r="T546" s="60" t="n">
        <f aca="false">IF(T$531&gt;=Assumptions!$E$26,(Assumptions!$E$94+Assumptions!$E$95+Assumptions!$E$96+Assumptions!$E$97)/(24-Assumptions!$E$26+1),0)</f>
        <v>0</v>
      </c>
      <c r="U546" s="60" t="n">
        <f aca="false">IF(U$531&gt;=Assumptions!$E$26,(Assumptions!$E$94+Assumptions!$E$95+Assumptions!$E$96+Assumptions!$E$97)/(24-Assumptions!$E$26+1),0)</f>
        <v>0</v>
      </c>
      <c r="V546" s="60" t="n">
        <f aca="false">IF(V$531&gt;=Assumptions!$E$26,(Assumptions!$E$94+Assumptions!$E$95+Assumptions!$E$96+Assumptions!$E$97)/(24-Assumptions!$E$26+1),0)</f>
        <v>426.666666666667</v>
      </c>
      <c r="W546" s="60" t="n">
        <f aca="false">IF(W$531&gt;=Assumptions!$E$26,(Assumptions!$E$94+Assumptions!$E$95+Assumptions!$E$96+Assumptions!$E$97)/(24-Assumptions!$E$26+1),0)</f>
        <v>426.666666666667</v>
      </c>
      <c r="X546" s="60" t="n">
        <f aca="false">IF(X$531&gt;=Assumptions!$E$26,(Assumptions!$E$94+Assumptions!$E$95+Assumptions!$E$96+Assumptions!$E$97)/(24-Assumptions!$E$26+1),0)</f>
        <v>426.666666666667</v>
      </c>
      <c r="Y546" s="60" t="n">
        <f aca="false">IF(Y$531&gt;=Assumptions!$E$26,(Assumptions!$E$94+Assumptions!$E$95+Assumptions!$E$96+Assumptions!$E$97)/(24-Assumptions!$E$26+1),0)</f>
        <v>426.666666666667</v>
      </c>
      <c r="Z546" s="60" t="n">
        <f aca="false">IF(Z$531&gt;=Assumptions!$E$26,(Assumptions!$E$94+Assumptions!$E$95+Assumptions!$E$96+Assumptions!$E$97)/(24-Assumptions!$E$26+1),0)</f>
        <v>426.666666666667</v>
      </c>
      <c r="AA546" s="60" t="n">
        <f aca="false">IF(AA$531&gt;=Assumptions!$E$26,(Assumptions!$E$94+Assumptions!$E$95+Assumptions!$E$96+Assumptions!$E$97)/(24-Assumptions!$E$26+1),0)</f>
        <v>426.666666666667</v>
      </c>
      <c r="AB546" s="38" t="n">
        <f aca="false">SUM(D546:O546)</f>
        <v>0</v>
      </c>
      <c r="AC546" s="38" t="n">
        <f aca="false">SUM(P546:AA546)</f>
        <v>2560</v>
      </c>
    </row>
    <row r="547" customFormat="false" ht="15" hidden="false" customHeight="false" outlineLevel="0" collapsed="false">
      <c r="A547" s="9" t="s">
        <v>465</v>
      </c>
      <c r="B547" s="3" t="s">
        <v>62</v>
      </c>
      <c r="D547" s="29" t="n">
        <f aca="false">D542-D543-D544-D545-D546</f>
        <v>-9417.215</v>
      </c>
      <c r="E547" s="29" t="n">
        <f aca="false">E542-E543-E544-E545-E546</f>
        <v>663.109999999999</v>
      </c>
      <c r="F547" s="29" t="n">
        <f aca="false">F542-F543-F544-F545-F546</f>
        <v>1439.66</v>
      </c>
      <c r="G547" s="29" t="n">
        <f aca="false">G542-G543-G544-G545-G546</f>
        <v>5011.635</v>
      </c>
      <c r="H547" s="29" t="n">
        <f aca="false">H542-H543-H544-H545-H546</f>
        <v>6785.93</v>
      </c>
      <c r="I547" s="29" t="n">
        <f aca="false">I542-I543-I544-I545-I546</f>
        <v>8788.675</v>
      </c>
      <c r="J547" s="29" t="n">
        <f aca="false">J542-J543-J544-J545-J546</f>
        <v>15578.76</v>
      </c>
      <c r="K547" s="29" t="n">
        <f aca="false">K542-K543-K544-K545-K546</f>
        <v>18872.51</v>
      </c>
      <c r="L547" s="29" t="n">
        <f aca="false">L542-L543-L544-L545-L546</f>
        <v>22166.26</v>
      </c>
      <c r="M547" s="29" t="n">
        <f aca="false">M542-M543-M544-M545-M546</f>
        <v>25460.01</v>
      </c>
      <c r="N547" s="29" t="n">
        <f aca="false">N542-N543-N544-N545-N546</f>
        <v>28753.76</v>
      </c>
      <c r="O547" s="29" t="n">
        <f aca="false">O542-O543-O544-O545-O546</f>
        <v>32876.26</v>
      </c>
      <c r="P547" s="29" t="n">
        <f aca="false">P542-P543-P544-P545-P546</f>
        <v>40669.53</v>
      </c>
      <c r="Q547" s="29" t="n">
        <f aca="false">Q542-Q543-Q544-Q545-Q546</f>
        <v>44363.18</v>
      </c>
      <c r="R547" s="29" t="n">
        <f aca="false">R542-R543-R544-R545-R546</f>
        <v>47127.46</v>
      </c>
      <c r="S547" s="29" t="n">
        <f aca="false">S542-S543-S544-S545-S546</f>
        <v>49903.655</v>
      </c>
      <c r="T547" s="29" t="n">
        <f aca="false">T542-T543-T544-T545-T546</f>
        <v>52667.935</v>
      </c>
      <c r="U547" s="29" t="n">
        <f aca="false">U542-U543-U544-U545-U546</f>
        <v>55444.13</v>
      </c>
      <c r="V547" s="29" t="n">
        <f aca="false">V542-V543-V544-V545-V546</f>
        <v>55017.3433333333</v>
      </c>
      <c r="W547" s="29" t="n">
        <f aca="false">W542-W543-W544-W545-W546</f>
        <v>56897.3433333333</v>
      </c>
      <c r="X547" s="29" t="n">
        <f aca="false">X542-X543-X544-X545-X546</f>
        <v>58777.3433333333</v>
      </c>
      <c r="Y547" s="29" t="n">
        <f aca="false">Y542-Y543-Y544-Y545-Y546</f>
        <v>60657.3433333333</v>
      </c>
      <c r="Z547" s="29" t="n">
        <f aca="false">Z542-Z543-Z544-Z545-Z546</f>
        <v>62537.3433333333</v>
      </c>
      <c r="AA547" s="29" t="n">
        <f aca="false">AA542-AA543-AA544-AA545-AA546</f>
        <v>64417.3433333334</v>
      </c>
      <c r="AB547" s="29" t="n">
        <f aca="false">SUM(D547:O547)</f>
        <v>156979.355</v>
      </c>
      <c r="AC547" s="29" t="n">
        <f aca="false">SUM(P547:AA547)</f>
        <v>648479.95</v>
      </c>
    </row>
    <row r="548" customFormat="false" ht="15" hidden="false" customHeight="false" outlineLevel="0" collapsed="false">
      <c r="A548" s="3" t="s">
        <v>466</v>
      </c>
      <c r="B548" s="3" t="s">
        <v>62</v>
      </c>
      <c r="D548" s="38" t="n">
        <f aca="false">D547</f>
        <v>-9417.215</v>
      </c>
      <c r="E548" s="38" t="n">
        <f aca="false">D548+E547</f>
        <v>-8754.105</v>
      </c>
      <c r="F548" s="38" t="n">
        <f aca="false">E548+F547</f>
        <v>-7314.445</v>
      </c>
      <c r="G548" s="38" t="n">
        <f aca="false">F548+G547</f>
        <v>-2302.81</v>
      </c>
      <c r="H548" s="38" t="n">
        <f aca="false">G548+H547</f>
        <v>4483.12</v>
      </c>
      <c r="I548" s="38" t="n">
        <f aca="false">H548+I547</f>
        <v>13271.795</v>
      </c>
      <c r="J548" s="38" t="n">
        <f aca="false">I548+J547</f>
        <v>28850.555</v>
      </c>
      <c r="K548" s="38" t="n">
        <f aca="false">J548+K547</f>
        <v>47723.065</v>
      </c>
      <c r="L548" s="38" t="n">
        <f aca="false">K548+L547</f>
        <v>69889.325</v>
      </c>
      <c r="M548" s="38" t="n">
        <f aca="false">L548+M547</f>
        <v>95349.335</v>
      </c>
      <c r="N548" s="38" t="n">
        <f aca="false">M548+N547</f>
        <v>124103.095</v>
      </c>
      <c r="O548" s="38" t="n">
        <f aca="false">N548+O547</f>
        <v>156979.355</v>
      </c>
      <c r="P548" s="38" t="n">
        <f aca="false">O548+P547</f>
        <v>197648.885</v>
      </c>
      <c r="Q548" s="38" t="n">
        <f aca="false">P548+Q547</f>
        <v>242012.065</v>
      </c>
      <c r="R548" s="38" t="n">
        <f aca="false">Q548+R547</f>
        <v>289139.525</v>
      </c>
      <c r="S548" s="38" t="n">
        <f aca="false">R548+S547</f>
        <v>339043.18</v>
      </c>
      <c r="T548" s="38" t="n">
        <f aca="false">S548+T547</f>
        <v>391711.115</v>
      </c>
      <c r="U548" s="38" t="n">
        <f aca="false">T548+U547</f>
        <v>447155.245</v>
      </c>
      <c r="V548" s="38" t="n">
        <f aca="false">U548+V547</f>
        <v>502172.588333333</v>
      </c>
      <c r="W548" s="38" t="n">
        <f aca="false">V548+W547</f>
        <v>559069.931666667</v>
      </c>
      <c r="X548" s="38" t="n">
        <f aca="false">W548+X547</f>
        <v>617847.275</v>
      </c>
      <c r="Y548" s="38" t="n">
        <f aca="false">X548+Y547</f>
        <v>678504.618333333</v>
      </c>
      <c r="Z548" s="38" t="n">
        <f aca="false">Y548+Z547</f>
        <v>741041.961666667</v>
      </c>
      <c r="AA548" s="38" t="n">
        <f aca="false">Z548+AA547</f>
        <v>805459.305</v>
      </c>
      <c r="AB548" s="38" t="n">
        <f aca="false">O548</f>
        <v>156979.355</v>
      </c>
      <c r="AC548" s="38" t="n">
        <f aca="false">AA548</f>
        <v>805459.305</v>
      </c>
    </row>
    <row r="549" customFormat="false" ht="15" hidden="false" customHeight="false" outlineLevel="0" collapsed="false">
      <c r="A549" s="3" t="s">
        <v>467</v>
      </c>
      <c r="B549" s="3" t="s">
        <v>66</v>
      </c>
      <c r="D549" s="34" t="n">
        <f aca="false">IF(D535=0,0,D547/D535)</f>
        <v>-0.939935622317597</v>
      </c>
      <c r="E549" s="34" t="n">
        <f aca="false">IF(E535=0,0,E547/E535)</f>
        <v>0.0414547386846711</v>
      </c>
      <c r="F549" s="34" t="n">
        <f aca="false">IF(F535=0,0,F547/F535)</f>
        <v>0.0600008335417188</v>
      </c>
      <c r="G549" s="34" t="n">
        <f aca="false">IF(G535=0,0,G547/G535)</f>
        <v>0.150386646661665</v>
      </c>
      <c r="H549" s="34" t="n">
        <f aca="false">IF(H535=0,0,H547/H535)</f>
        <v>0.15655984680694</v>
      </c>
      <c r="I549" s="34" t="n">
        <f aca="false">IF(I535=0,0,I547/I535)</f>
        <v>0.160808647283772</v>
      </c>
      <c r="J549" s="34" t="n">
        <f aca="false">IF(J535=0,0,J547/J535)</f>
        <v>0.23373983495874</v>
      </c>
      <c r="K549" s="34" t="n">
        <f aca="false">IF(K535=0,0,K547/K535)</f>
        <v>0.235965366341585</v>
      </c>
      <c r="L549" s="34" t="n">
        <f aca="false">IF(L535=0,0,L547/L535)</f>
        <v>0.237555031615047</v>
      </c>
      <c r="M549" s="34" t="n">
        <f aca="false">IF(M535=0,0,M547/M535)</f>
        <v>0.238747280570142</v>
      </c>
      <c r="N549" s="34" t="n">
        <f aca="false">IF(N535=0,0,N547/N535)</f>
        <v>0.239674585312995</v>
      </c>
      <c r="O549" s="34" t="n">
        <f aca="false">IF(O535=0,0,O547/O535)</f>
        <v>0.240580297686127</v>
      </c>
      <c r="P549" s="34" t="n">
        <f aca="false">IF(P535=0,0,P547/P535)</f>
        <v>0.271159123639855</v>
      </c>
      <c r="Q549" s="34" t="n">
        <f aca="false">IF(Q535=0,0,Q547/Q535)</f>
        <v>0.271643459838103</v>
      </c>
      <c r="R549" s="34" t="n">
        <f aca="false">IF(R535=0,0,R547/R535)</f>
        <v>0.271957181603093</v>
      </c>
      <c r="S549" s="34" t="n">
        <f aca="false">IF(S535=0,0,S547/S535)</f>
        <v>0.272237887937854</v>
      </c>
      <c r="T549" s="34" t="n">
        <f aca="false">IF(T535=0,0,T547/T535)</f>
        <v>0.272488475567168</v>
      </c>
      <c r="U549" s="34" t="n">
        <f aca="false">IF(U535=0,0,U547/U535)</f>
        <v>0.272715391728643</v>
      </c>
      <c r="V549" s="34" t="n">
        <f aca="false">IF(V535=0,0,V547/V535)</f>
        <v>0.261757999340261</v>
      </c>
      <c r="W549" s="34" t="n">
        <f aca="false">IF(W535=0,0,W547/W535)</f>
        <v>0.262122430865244</v>
      </c>
      <c r="X549" s="34" t="n">
        <f aca="false">IF(X535=0,0,X547/X535)</f>
        <v>0.262464470284238</v>
      </c>
      <c r="Y549" s="34" t="n">
        <f aca="false">IF(Y535=0,0,Y547/Y535)</f>
        <v>0.262786119871995</v>
      </c>
      <c r="Z549" s="34" t="n">
        <f aca="false">IF(Z535=0,0,Z547/Z535)</f>
        <v>0.26308915009143</v>
      </c>
      <c r="AA549" s="34" t="n">
        <f aca="false">IF(AA535=0,0,AA547/AA535)</f>
        <v>0.263375132197255</v>
      </c>
      <c r="AB549" s="34" t="n">
        <f aca="false">IF(AB535=0,0,AB547/AB535)</f>
        <v>0.200092226605569</v>
      </c>
      <c r="AC549" s="34" t="n">
        <f aca="false">IF(AC535=0,0,AC547/AC535)</f>
        <v>0.266777446838271</v>
      </c>
    </row>
    <row r="550" customFormat="false" ht="15" hidden="false" customHeight="false" outlineLevel="0" collapsed="false">
      <c r="A550" s="3" t="s">
        <v>468</v>
      </c>
      <c r="B550" s="3" t="s">
        <v>66</v>
      </c>
      <c r="D550" s="34" t="n">
        <f aca="false">IF(D535=0,0,D541/D535)</f>
        <v>0.26</v>
      </c>
      <c r="E550" s="34" t="n">
        <f aca="false">IF(E535=0,0,E541/E535)</f>
        <v>0.26</v>
      </c>
      <c r="F550" s="34" t="n">
        <f aca="false">IF(F535=0,0,F541/F535)</f>
        <v>0.26</v>
      </c>
      <c r="G550" s="34" t="n">
        <f aca="false">IF(G535=0,0,G541/G535)</f>
        <v>0.18</v>
      </c>
      <c r="H550" s="34" t="n">
        <f aca="false">IF(H535=0,0,H541/H535)</f>
        <v>0.18</v>
      </c>
      <c r="I550" s="34" t="n">
        <f aca="false">IF(I535=0,0,I541/I535)</f>
        <v>0.18</v>
      </c>
      <c r="J550" s="34" t="n">
        <f aca="false">IF(J535=0,0,J541/J535)</f>
        <v>0.11</v>
      </c>
      <c r="K550" s="34" t="n">
        <f aca="false">IF(K535=0,0,K541/K535)</f>
        <v>0.11</v>
      </c>
      <c r="L550" s="34" t="n">
        <f aca="false">IF(L535=0,0,L541/L535)</f>
        <v>0.11</v>
      </c>
      <c r="M550" s="34" t="n">
        <f aca="false">IF(M535=0,0,M541/M535)</f>
        <v>0.11</v>
      </c>
      <c r="N550" s="34" t="n">
        <f aca="false">IF(N535=0,0,N541/N535)</f>
        <v>0.11</v>
      </c>
      <c r="O550" s="34" t="n">
        <f aca="false">IF(O535=0,0,O541/O535)</f>
        <v>0.11</v>
      </c>
      <c r="P550" s="34" t="n">
        <f aca="false">IF(P535=0,0,P541/P535)</f>
        <v>0.08</v>
      </c>
      <c r="Q550" s="34" t="n">
        <f aca="false">IF(Q535=0,0,Q541/Q535)</f>
        <v>0.08</v>
      </c>
      <c r="R550" s="34" t="n">
        <f aca="false">IF(R535=0,0,R541/R535)</f>
        <v>0.08</v>
      </c>
      <c r="S550" s="34" t="n">
        <f aca="false">IF(S535=0,0,S541/S535)</f>
        <v>0.08</v>
      </c>
      <c r="T550" s="34" t="n">
        <f aca="false">IF(T535=0,0,T541/T535)</f>
        <v>0.08</v>
      </c>
      <c r="U550" s="34" t="n">
        <f aca="false">IF(U535=0,0,U541/U535)</f>
        <v>0.08</v>
      </c>
      <c r="V550" s="34" t="n">
        <f aca="false">IF(V535=0,0,V541/V535)</f>
        <v>0.095</v>
      </c>
      <c r="W550" s="34" t="n">
        <f aca="false">IF(W535=0,0,W541/W535)</f>
        <v>0.095</v>
      </c>
      <c r="X550" s="34" t="n">
        <f aca="false">IF(X535=0,0,X541/X535)</f>
        <v>0.095</v>
      </c>
      <c r="Y550" s="34" t="n">
        <f aca="false">IF(Y535=0,0,Y541/Y535)</f>
        <v>0.095</v>
      </c>
      <c r="Z550" s="34" t="n">
        <f aca="false">IF(Z535=0,0,Z541/Z535)</f>
        <v>0.095</v>
      </c>
      <c r="AA550" s="34" t="n">
        <f aca="false">IF(AA535=0,0,AA541/AA535)</f>
        <v>0.095</v>
      </c>
      <c r="AB550" s="34" t="n">
        <f aca="false">IF(AB535=0,0,AB541/AB535)</f>
        <v>0.13127870649493</v>
      </c>
      <c r="AC550" s="34" t="n">
        <f aca="false">IF(AC535=0,0,AC541/AC535)</f>
        <v>0.0884188926233858</v>
      </c>
    </row>
    <row r="551" customFormat="false" ht="15" hidden="false" customHeight="false" outlineLevel="0" collapsed="false">
      <c r="A551" s="3" t="s">
        <v>375</v>
      </c>
      <c r="B551" s="3" t="s">
        <v>454</v>
      </c>
      <c r="D551" s="40" t="n">
        <f aca="false">IF(D533=0,0,(D542+D541)/D533)</f>
        <v>15.355</v>
      </c>
      <c r="E551" s="40" t="n">
        <f aca="false">IF(E533=0,0,(E542+E541)/E533)</f>
        <v>15.355</v>
      </c>
      <c r="F551" s="40" t="n">
        <f aca="false">IF(F533=0,0,(F542+F541)/F533)</f>
        <v>15.355</v>
      </c>
      <c r="G551" s="40" t="n">
        <f aca="false">IF(G533=0,0,(G542+G541)/G533)</f>
        <v>15.355</v>
      </c>
      <c r="H551" s="40" t="n">
        <f aca="false">IF(H533=0,0,(H542+H541)/H533)</f>
        <v>15.355</v>
      </c>
      <c r="I551" s="40" t="n">
        <f aca="false">IF(I533=0,0,(I542+I541)/I533)</f>
        <v>15.355</v>
      </c>
      <c r="J551" s="40" t="n">
        <f aca="false">IF(J533=0,0,(J542+J541)/J533)</f>
        <v>15.355</v>
      </c>
      <c r="K551" s="40" t="n">
        <f aca="false">IF(K533=0,0,(K542+K541)/K533)</f>
        <v>15.355</v>
      </c>
      <c r="L551" s="40" t="n">
        <f aca="false">IF(L533=0,0,(L542+L541)/L533)</f>
        <v>15.355</v>
      </c>
      <c r="M551" s="40" t="n">
        <f aca="false">IF(M533=0,0,(M542+M541)/M533)</f>
        <v>15.355</v>
      </c>
      <c r="N551" s="40" t="n">
        <f aca="false">IF(N533=0,0,(N542+N541)/N533)</f>
        <v>15.355</v>
      </c>
      <c r="O551" s="40" t="n">
        <f aca="false">IF(O533=0,0,(O542+O541)/O533)</f>
        <v>15.355</v>
      </c>
      <c r="P551" s="40" t="n">
        <f aca="false">IF(P533=0,0,(P542+P541)/P533)</f>
        <v>15.355</v>
      </c>
      <c r="Q551" s="40" t="n">
        <f aca="false">IF(Q533=0,0,(Q542+Q541)/Q533)</f>
        <v>15.355</v>
      </c>
      <c r="R551" s="40" t="n">
        <f aca="false">IF(R533=0,0,(R542+R541)/R533)</f>
        <v>15.355</v>
      </c>
      <c r="S551" s="40" t="n">
        <f aca="false">IF(S533=0,0,(S542+S541)/S533)</f>
        <v>15.355</v>
      </c>
      <c r="T551" s="40" t="n">
        <f aca="false">IF(T533=0,0,(T542+T541)/T533)</f>
        <v>15.355</v>
      </c>
      <c r="U551" s="40" t="n">
        <f aca="false">IF(U533=0,0,(U542+U541)/U533)</f>
        <v>15.355</v>
      </c>
      <c r="V551" s="40" t="n">
        <f aca="false">IF(V533=0,0,(V542+V541)/V533)</f>
        <v>15.835</v>
      </c>
      <c r="W551" s="40" t="n">
        <f aca="false">IF(W533=0,0,(W542+W541)/W533)</f>
        <v>15.835</v>
      </c>
      <c r="X551" s="40" t="n">
        <f aca="false">IF(X533=0,0,(X542+X541)/X533)</f>
        <v>15.835</v>
      </c>
      <c r="Y551" s="40" t="n">
        <f aca="false">IF(Y533=0,0,(Y542+Y541)/Y533)</f>
        <v>15.835</v>
      </c>
      <c r="Z551" s="40" t="n">
        <f aca="false">IF(Z533=0,0,(Z542+Z541)/Z533)</f>
        <v>15.835</v>
      </c>
      <c r="AA551" s="40" t="n">
        <f aca="false">IF(AA533=0,0,(AA542+AA541)/AA533)</f>
        <v>15.835</v>
      </c>
      <c r="AB551" s="40" t="n">
        <f aca="false">IF(AB533=0,0,(AB542+AB541)/AB533)</f>
        <v>15.355</v>
      </c>
      <c r="AC551" s="40" t="n">
        <f aca="false">IF(AC533=0,0,(AC542+AC541)/AC533)</f>
        <v>15.6244045639483</v>
      </c>
    </row>
    <row r="552" customFormat="false" ht="15" hidden="false" customHeight="false" outlineLevel="0" collapsed="false">
      <c r="A552" s="3" t="s">
        <v>469</v>
      </c>
      <c r="B552" s="3" t="s">
        <v>454</v>
      </c>
      <c r="D552" s="40" t="n">
        <f aca="false">IF(D533=0,0,D542/D533)</f>
        <v>4.175</v>
      </c>
      <c r="E552" s="40" t="n">
        <f aca="false">IF(E533=0,0,E542/E533)</f>
        <v>4.175</v>
      </c>
      <c r="F552" s="40" t="n">
        <f aca="false">IF(F533=0,0,F542/F533)</f>
        <v>4.175</v>
      </c>
      <c r="G552" s="40" t="n">
        <f aca="false">IF(G533=0,0,G542/G533)</f>
        <v>7.615</v>
      </c>
      <c r="H552" s="40" t="n">
        <f aca="false">IF(H533=0,0,H542/H533)</f>
        <v>7.615</v>
      </c>
      <c r="I552" s="40" t="n">
        <f aca="false">IF(I533=0,0,I542/I533)</f>
        <v>7.615</v>
      </c>
      <c r="J552" s="40" t="n">
        <f aca="false">IF(J533=0,0,J542/J533)</f>
        <v>10.625</v>
      </c>
      <c r="K552" s="40" t="n">
        <f aca="false">IF(K533=0,0,K542/K533)</f>
        <v>10.625</v>
      </c>
      <c r="L552" s="40" t="n">
        <f aca="false">IF(L533=0,0,L542/L533)</f>
        <v>10.625</v>
      </c>
      <c r="M552" s="40" t="n">
        <f aca="false">IF(M533=0,0,M542/M533)</f>
        <v>10.625</v>
      </c>
      <c r="N552" s="40" t="n">
        <f aca="false">IF(N533=0,0,N542/N533)</f>
        <v>10.625</v>
      </c>
      <c r="O552" s="40" t="n">
        <f aca="false">IF(O533=0,0,O542/O533)</f>
        <v>10.625</v>
      </c>
      <c r="P552" s="40" t="n">
        <f aca="false">IF(P533=0,0,P542/P533)</f>
        <v>11.915</v>
      </c>
      <c r="Q552" s="40" t="n">
        <f aca="false">IF(Q533=0,0,Q542/Q533)</f>
        <v>11.915</v>
      </c>
      <c r="R552" s="40" t="n">
        <f aca="false">IF(R533=0,0,R542/R533)</f>
        <v>11.915</v>
      </c>
      <c r="S552" s="40" t="n">
        <f aca="false">IF(S533=0,0,S542/S533)</f>
        <v>11.915</v>
      </c>
      <c r="T552" s="40" t="n">
        <f aca="false">IF(T533=0,0,T542/T533)</f>
        <v>11.915</v>
      </c>
      <c r="U552" s="40" t="n">
        <f aca="false">IF(U533=0,0,U542/U533)</f>
        <v>11.915</v>
      </c>
      <c r="V552" s="40" t="n">
        <f aca="false">IF(V533=0,0,V542/V533)</f>
        <v>11.75</v>
      </c>
      <c r="W552" s="40" t="n">
        <f aca="false">IF(W533=0,0,W542/W533)</f>
        <v>11.75</v>
      </c>
      <c r="X552" s="40" t="n">
        <f aca="false">IF(X533=0,0,X542/X533)</f>
        <v>11.75</v>
      </c>
      <c r="Y552" s="40" t="n">
        <f aca="false">IF(Y533=0,0,Y542/Y533)</f>
        <v>11.75</v>
      </c>
      <c r="Z552" s="40" t="n">
        <f aca="false">IF(Z533=0,0,Z542/Z533)</f>
        <v>11.75</v>
      </c>
      <c r="AA552" s="40" t="n">
        <f aca="false">IF(AA533=0,0,AA542/AA533)</f>
        <v>11.75</v>
      </c>
      <c r="AB552" s="40" t="n">
        <f aca="false">IF(AB533=0,0,AB542/AB533)</f>
        <v>9.71001562071801</v>
      </c>
      <c r="AC552" s="40" t="n">
        <f aca="false">IF(AC533=0,0,AC542/AC533)</f>
        <v>11.8223921811428</v>
      </c>
    </row>
    <row r="553" customFormat="false" ht="15" hidden="false" customHeight="false" outlineLevel="0" collapsed="false">
      <c r="A553" s="3" t="s">
        <v>470</v>
      </c>
      <c r="B553" s="3" t="s">
        <v>471</v>
      </c>
      <c r="D553" s="30" t="n">
        <f aca="false">IF(D548&gt;=0,1,0)</f>
        <v>0</v>
      </c>
      <c r="E553" s="30" t="n">
        <f aca="false">IF(E548&gt;=0,1,0)</f>
        <v>0</v>
      </c>
      <c r="F553" s="30" t="n">
        <f aca="false">IF(F548&gt;=0,1,0)</f>
        <v>0</v>
      </c>
      <c r="G553" s="30" t="n">
        <f aca="false">IF(G548&gt;=0,1,0)</f>
        <v>0</v>
      </c>
      <c r="H553" s="30" t="n">
        <f aca="false">IF(H548&gt;=0,1,0)</f>
        <v>1</v>
      </c>
      <c r="I553" s="30" t="n">
        <f aca="false">IF(I548&gt;=0,1,0)</f>
        <v>1</v>
      </c>
      <c r="J553" s="30" t="n">
        <f aca="false">IF(J548&gt;=0,1,0)</f>
        <v>1</v>
      </c>
      <c r="K553" s="30" t="n">
        <f aca="false">IF(K548&gt;=0,1,0)</f>
        <v>1</v>
      </c>
      <c r="L553" s="30" t="n">
        <f aca="false">IF(L548&gt;=0,1,0)</f>
        <v>1</v>
      </c>
      <c r="M553" s="30" t="n">
        <f aca="false">IF(M548&gt;=0,1,0)</f>
        <v>1</v>
      </c>
      <c r="N553" s="30" t="n">
        <f aca="false">IF(N548&gt;=0,1,0)</f>
        <v>1</v>
      </c>
      <c r="O553" s="30" t="n">
        <f aca="false">IF(O548&gt;=0,1,0)</f>
        <v>1</v>
      </c>
      <c r="P553" s="30" t="n">
        <f aca="false">IF(P548&gt;=0,1,0)</f>
        <v>1</v>
      </c>
      <c r="Q553" s="30" t="n">
        <f aca="false">IF(Q548&gt;=0,1,0)</f>
        <v>1</v>
      </c>
      <c r="R553" s="30" t="n">
        <f aca="false">IF(R548&gt;=0,1,0)</f>
        <v>1</v>
      </c>
      <c r="S553" s="30" t="n">
        <f aca="false">IF(S548&gt;=0,1,0)</f>
        <v>1</v>
      </c>
      <c r="T553" s="30" t="n">
        <f aca="false">IF(T548&gt;=0,1,0)</f>
        <v>1</v>
      </c>
      <c r="U553" s="30" t="n">
        <f aca="false">IF(U548&gt;=0,1,0)</f>
        <v>1</v>
      </c>
      <c r="V553" s="30" t="n">
        <f aca="false">IF(V548&gt;=0,1,0)</f>
        <v>1</v>
      </c>
      <c r="W553" s="30" t="n">
        <f aca="false">IF(W548&gt;=0,1,0)</f>
        <v>1</v>
      </c>
      <c r="X553" s="30" t="n">
        <f aca="false">IF(X548&gt;=0,1,0)</f>
        <v>1</v>
      </c>
      <c r="Y553" s="30" t="n">
        <f aca="false">IF(Y548&gt;=0,1,0)</f>
        <v>1</v>
      </c>
      <c r="Z553" s="30" t="n">
        <f aca="false">IF(Z548&gt;=0,1,0)</f>
        <v>1</v>
      </c>
      <c r="AA553" s="30" t="n">
        <f aca="false">IF(AA548&gt;=0,1,0)</f>
        <v>1</v>
      </c>
    </row>
    <row r="555" customFormat="false" ht="15" hidden="false" customHeight="false" outlineLevel="0" collapsed="false">
      <c r="A555" s="9" t="s">
        <v>472</v>
      </c>
    </row>
    <row r="556" customFormat="false" ht="15" hidden="false" customHeight="false" outlineLevel="0" collapsed="false">
      <c r="A556" s="3" t="s">
        <v>473</v>
      </c>
      <c r="B556" s="3" t="s">
        <v>66</v>
      </c>
      <c r="D556" s="54" t="n">
        <f aca="false">IF(D$531&gt;=Assumptions!$E$26,LandedPctHigh+Assumptions!$E$33,LandedPctHigh)</f>
        <v>0.32</v>
      </c>
      <c r="E556" s="54" t="n">
        <f aca="false">IF(E$531&gt;=Assumptions!$E$26,LandedPctHigh+Assumptions!$E$33,LandedPctHigh)</f>
        <v>0.32</v>
      </c>
      <c r="F556" s="54" t="n">
        <f aca="false">IF(F$531&gt;=Assumptions!$E$26,LandedPctHigh+Assumptions!$E$33,LandedPctHigh)</f>
        <v>0.32</v>
      </c>
      <c r="G556" s="54" t="n">
        <f aca="false">IF(G$531&gt;=Assumptions!$E$26,LandedPctHigh+Assumptions!$E$33,LandedPctHigh)</f>
        <v>0.32</v>
      </c>
      <c r="H556" s="54" t="n">
        <f aca="false">IF(H$531&gt;=Assumptions!$E$26,LandedPctHigh+Assumptions!$E$33,LandedPctHigh)</f>
        <v>0.32</v>
      </c>
      <c r="I556" s="54" t="n">
        <f aca="false">IF(I$531&gt;=Assumptions!$E$26,LandedPctHigh+Assumptions!$E$33,LandedPctHigh)</f>
        <v>0.32</v>
      </c>
      <c r="J556" s="54" t="n">
        <f aca="false">IF(J$531&gt;=Assumptions!$E$26,LandedPctHigh+Assumptions!$E$33,LandedPctHigh)</f>
        <v>0.32</v>
      </c>
      <c r="K556" s="54" t="n">
        <f aca="false">IF(K$531&gt;=Assumptions!$E$26,LandedPctHigh+Assumptions!$E$33,LandedPctHigh)</f>
        <v>0.32</v>
      </c>
      <c r="L556" s="54" t="n">
        <f aca="false">IF(L$531&gt;=Assumptions!$E$26,LandedPctHigh+Assumptions!$E$33,LandedPctHigh)</f>
        <v>0.32</v>
      </c>
      <c r="M556" s="54" t="n">
        <f aca="false">IF(M$531&gt;=Assumptions!$E$26,LandedPctHigh+Assumptions!$E$33,LandedPctHigh)</f>
        <v>0.32</v>
      </c>
      <c r="N556" s="54" t="n">
        <f aca="false">IF(N$531&gt;=Assumptions!$E$26,LandedPctHigh+Assumptions!$E$33,LandedPctHigh)</f>
        <v>0.32</v>
      </c>
      <c r="O556" s="54" t="n">
        <f aca="false">IF(O$531&gt;=Assumptions!$E$26,LandedPctHigh+Assumptions!$E$33,LandedPctHigh)</f>
        <v>0.32</v>
      </c>
      <c r="P556" s="54" t="n">
        <f aca="false">IF(P$531&gt;=Assumptions!$E$26,LandedPctHigh+Assumptions!$E$33,LandedPctHigh)</f>
        <v>0.32</v>
      </c>
      <c r="Q556" s="54" t="n">
        <f aca="false">IF(Q$531&gt;=Assumptions!$E$26,LandedPctHigh+Assumptions!$E$33,LandedPctHigh)</f>
        <v>0.32</v>
      </c>
      <c r="R556" s="54" t="n">
        <f aca="false">IF(R$531&gt;=Assumptions!$E$26,LandedPctHigh+Assumptions!$E$33,LandedPctHigh)</f>
        <v>0.32</v>
      </c>
      <c r="S556" s="54" t="n">
        <f aca="false">IF(S$531&gt;=Assumptions!$E$26,LandedPctHigh+Assumptions!$E$33,LandedPctHigh)</f>
        <v>0.32</v>
      </c>
      <c r="T556" s="54" t="n">
        <f aca="false">IF(T$531&gt;=Assumptions!$E$26,LandedPctHigh+Assumptions!$E$33,LandedPctHigh)</f>
        <v>0.32</v>
      </c>
      <c r="U556" s="54" t="n">
        <f aca="false">IF(U$531&gt;=Assumptions!$E$26,LandedPctHigh+Assumptions!$E$33,LandedPctHigh)</f>
        <v>0.32</v>
      </c>
      <c r="V556" s="54" t="n">
        <f aca="false">IF(V$531&gt;=Assumptions!$E$26,LandedPctHigh+Assumptions!$E$33,LandedPctHigh)</f>
        <v>0.31</v>
      </c>
      <c r="W556" s="54" t="n">
        <f aca="false">IF(W$531&gt;=Assumptions!$E$26,LandedPctHigh+Assumptions!$E$33,LandedPctHigh)</f>
        <v>0.31</v>
      </c>
      <c r="X556" s="54" t="n">
        <f aca="false">IF(X$531&gt;=Assumptions!$E$26,LandedPctHigh+Assumptions!$E$33,LandedPctHigh)</f>
        <v>0.31</v>
      </c>
      <c r="Y556" s="54" t="n">
        <f aca="false">IF(Y$531&gt;=Assumptions!$E$26,LandedPctHigh+Assumptions!$E$33,LandedPctHigh)</f>
        <v>0.31</v>
      </c>
      <c r="Z556" s="54" t="n">
        <f aca="false">IF(Z$531&gt;=Assumptions!$E$26,LandedPctHigh+Assumptions!$E$33,LandedPctHigh)</f>
        <v>0.31</v>
      </c>
      <c r="AA556" s="54" t="n">
        <f aca="false">IF(AA$531&gt;=Assumptions!$E$26,LandedPctHigh+Assumptions!$E$33,LandedPctHigh)</f>
        <v>0.31</v>
      </c>
      <c r="AB556" s="34" t="n">
        <f aca="false">IF(AB535=0,0,AB536/AB535)</f>
        <v>0.32</v>
      </c>
      <c r="AC556" s="34" t="n">
        <f aca="false">IF(AC535=0,0,AC536/AC535)</f>
        <v>0.314387404917743</v>
      </c>
    </row>
    <row r="557" customFormat="false" ht="15" hidden="false" customHeight="false" outlineLevel="0" collapsed="false">
      <c r="A557" s="3" t="s">
        <v>474</v>
      </c>
      <c r="B557" s="3" t="s">
        <v>454</v>
      </c>
      <c r="D557" s="35" t="n">
        <f aca="false">Assumptions!$E$20*IF(D$531&gt;=Assumptions!$E$26,1+Assumptions!$E$32,1)</f>
        <v>5.5</v>
      </c>
      <c r="E557" s="35" t="n">
        <f aca="false">Assumptions!$E$20*IF(E$531&gt;=Assumptions!$E$26,1+Assumptions!$E$32,1)</f>
        <v>5.5</v>
      </c>
      <c r="F557" s="35" t="n">
        <f aca="false">Assumptions!$E$20*IF(F$531&gt;=Assumptions!$E$26,1+Assumptions!$E$32,1)</f>
        <v>5.5</v>
      </c>
      <c r="G557" s="35" t="n">
        <f aca="false">Assumptions!$E$20*IF(G$531&gt;=Assumptions!$E$26,1+Assumptions!$E$32,1)</f>
        <v>5.5</v>
      </c>
      <c r="H557" s="35" t="n">
        <f aca="false">Assumptions!$E$20*IF(H$531&gt;=Assumptions!$E$26,1+Assumptions!$E$32,1)</f>
        <v>5.5</v>
      </c>
      <c r="I557" s="35" t="n">
        <f aca="false">Assumptions!$E$20*IF(I$531&gt;=Assumptions!$E$26,1+Assumptions!$E$32,1)</f>
        <v>5.5</v>
      </c>
      <c r="J557" s="35" t="n">
        <f aca="false">Assumptions!$E$20*IF(J$531&gt;=Assumptions!$E$26,1+Assumptions!$E$32,1)</f>
        <v>5.5</v>
      </c>
      <c r="K557" s="35" t="n">
        <f aca="false">Assumptions!$E$20*IF(K$531&gt;=Assumptions!$E$26,1+Assumptions!$E$32,1)</f>
        <v>5.5</v>
      </c>
      <c r="L557" s="35" t="n">
        <f aca="false">Assumptions!$E$20*IF(L$531&gt;=Assumptions!$E$26,1+Assumptions!$E$32,1)</f>
        <v>5.5</v>
      </c>
      <c r="M557" s="35" t="n">
        <f aca="false">Assumptions!$E$20*IF(M$531&gt;=Assumptions!$E$26,1+Assumptions!$E$32,1)</f>
        <v>5.5</v>
      </c>
      <c r="N557" s="35" t="n">
        <f aca="false">Assumptions!$E$20*IF(N$531&gt;=Assumptions!$E$26,1+Assumptions!$E$32,1)</f>
        <v>5.5</v>
      </c>
      <c r="O557" s="35" t="n">
        <f aca="false">Assumptions!$E$20*IF(O$531&gt;=Assumptions!$E$26,1+Assumptions!$E$32,1)</f>
        <v>5.5</v>
      </c>
      <c r="P557" s="35" t="n">
        <f aca="false">Assumptions!$E$20*IF(P$531&gt;=Assumptions!$E$26,1+Assumptions!$E$32,1)</f>
        <v>5.5</v>
      </c>
      <c r="Q557" s="35" t="n">
        <f aca="false">Assumptions!$E$20*IF(Q$531&gt;=Assumptions!$E$26,1+Assumptions!$E$32,1)</f>
        <v>5.5</v>
      </c>
      <c r="R557" s="35" t="n">
        <f aca="false">Assumptions!$E$20*IF(R$531&gt;=Assumptions!$E$26,1+Assumptions!$E$32,1)</f>
        <v>5.5</v>
      </c>
      <c r="S557" s="35" t="n">
        <f aca="false">Assumptions!$E$20*IF(S$531&gt;=Assumptions!$E$26,1+Assumptions!$E$32,1)</f>
        <v>5.5</v>
      </c>
      <c r="T557" s="35" t="n">
        <f aca="false">Assumptions!$E$20*IF(T$531&gt;=Assumptions!$E$26,1+Assumptions!$E$32,1)</f>
        <v>5.5</v>
      </c>
      <c r="U557" s="35" t="n">
        <f aca="false">Assumptions!$E$20*IF(U$531&gt;=Assumptions!$E$26,1+Assumptions!$E$32,1)</f>
        <v>5.5</v>
      </c>
      <c r="V557" s="35" t="n">
        <f aca="false">Assumptions!$E$20*IF(V$531&gt;=Assumptions!$E$26,1+Assumptions!$E$32,1)</f>
        <v>5.665</v>
      </c>
      <c r="W557" s="35" t="n">
        <f aca="false">Assumptions!$E$20*IF(W$531&gt;=Assumptions!$E$26,1+Assumptions!$E$32,1)</f>
        <v>5.665</v>
      </c>
      <c r="X557" s="35" t="n">
        <f aca="false">Assumptions!$E$20*IF(X$531&gt;=Assumptions!$E$26,1+Assumptions!$E$32,1)</f>
        <v>5.665</v>
      </c>
      <c r="Y557" s="35" t="n">
        <f aca="false">Assumptions!$E$20*IF(Y$531&gt;=Assumptions!$E$26,1+Assumptions!$E$32,1)</f>
        <v>5.665</v>
      </c>
      <c r="Z557" s="35" t="n">
        <f aca="false">Assumptions!$E$20*IF(Z$531&gt;=Assumptions!$E$26,1+Assumptions!$E$32,1)</f>
        <v>5.665</v>
      </c>
      <c r="AA557" s="35" t="n">
        <f aca="false">Assumptions!$E$20*IF(AA$531&gt;=Assumptions!$E$26,1+Assumptions!$E$32,1)</f>
        <v>5.665</v>
      </c>
      <c r="AB557" s="40" t="n">
        <f aca="false">IF(AB533=0,0,AB538/AB533)</f>
        <v>5.5</v>
      </c>
      <c r="AC557" s="40" t="n">
        <f aca="false">IF(AC533=0,0,AC538/AC533)</f>
        <v>5.59260781885724</v>
      </c>
    </row>
    <row r="558" customFormat="false" ht="15" hidden="false" customHeight="false" outlineLevel="0" collapsed="false">
      <c r="A558" s="3" t="s">
        <v>475</v>
      </c>
      <c r="B558" s="3" t="s">
        <v>66</v>
      </c>
      <c r="D558" s="54" t="n">
        <f aca="false">IF(D$531&gt;=Assumptions!$E$26,Assumptions!$E$31,Assumptions!$E$12)</f>
        <v>0.025</v>
      </c>
      <c r="E558" s="54" t="n">
        <f aca="false">IF(E$531&gt;=Assumptions!$E$26,Assumptions!$E$31,Assumptions!$E$12)</f>
        <v>0.025</v>
      </c>
      <c r="F558" s="54" t="n">
        <f aca="false">IF(F$531&gt;=Assumptions!$E$26,Assumptions!$E$31,Assumptions!$E$12)</f>
        <v>0.025</v>
      </c>
      <c r="G558" s="54" t="n">
        <f aca="false">IF(G$531&gt;=Assumptions!$E$26,Assumptions!$E$31,Assumptions!$E$12)</f>
        <v>0.025</v>
      </c>
      <c r="H558" s="54" t="n">
        <f aca="false">IF(H$531&gt;=Assumptions!$E$26,Assumptions!$E$31,Assumptions!$E$12)</f>
        <v>0.025</v>
      </c>
      <c r="I558" s="54" t="n">
        <f aca="false">IF(I$531&gt;=Assumptions!$E$26,Assumptions!$E$31,Assumptions!$E$12)</f>
        <v>0.025</v>
      </c>
      <c r="J558" s="54" t="n">
        <f aca="false">IF(J$531&gt;=Assumptions!$E$26,Assumptions!$E$31,Assumptions!$E$12)</f>
        <v>0.025</v>
      </c>
      <c r="K558" s="54" t="n">
        <f aca="false">IF(K$531&gt;=Assumptions!$E$26,Assumptions!$E$31,Assumptions!$E$12)</f>
        <v>0.025</v>
      </c>
      <c r="L558" s="54" t="n">
        <f aca="false">IF(L$531&gt;=Assumptions!$E$26,Assumptions!$E$31,Assumptions!$E$12)</f>
        <v>0.025</v>
      </c>
      <c r="M558" s="54" t="n">
        <f aca="false">IF(M$531&gt;=Assumptions!$E$26,Assumptions!$E$31,Assumptions!$E$12)</f>
        <v>0.025</v>
      </c>
      <c r="N558" s="54" t="n">
        <f aca="false">IF(N$531&gt;=Assumptions!$E$26,Assumptions!$E$31,Assumptions!$E$12)</f>
        <v>0.025</v>
      </c>
      <c r="O558" s="54" t="n">
        <f aca="false">IF(O$531&gt;=Assumptions!$E$26,Assumptions!$E$31,Assumptions!$E$12)</f>
        <v>0.025</v>
      </c>
      <c r="P558" s="54" t="n">
        <f aca="false">IF(P$531&gt;=Assumptions!$E$26,Assumptions!$E$31,Assumptions!$E$12)</f>
        <v>0.025</v>
      </c>
      <c r="Q558" s="54" t="n">
        <f aca="false">IF(Q$531&gt;=Assumptions!$E$26,Assumptions!$E$31,Assumptions!$E$12)</f>
        <v>0.025</v>
      </c>
      <c r="R558" s="54" t="n">
        <f aca="false">IF(R$531&gt;=Assumptions!$E$26,Assumptions!$E$31,Assumptions!$E$12)</f>
        <v>0.025</v>
      </c>
      <c r="S558" s="54" t="n">
        <f aca="false">IF(S$531&gt;=Assumptions!$E$26,Assumptions!$E$31,Assumptions!$E$12)</f>
        <v>0.025</v>
      </c>
      <c r="T558" s="54" t="n">
        <f aca="false">IF(T$531&gt;=Assumptions!$E$26,Assumptions!$E$31,Assumptions!$E$12)</f>
        <v>0.025</v>
      </c>
      <c r="U558" s="54" t="n">
        <f aca="false">IF(U$531&gt;=Assumptions!$E$26,Assumptions!$E$31,Assumptions!$E$12)</f>
        <v>0.025</v>
      </c>
      <c r="V558" s="54" t="n">
        <f aca="false">IF(V$531&gt;=Assumptions!$E$26,Assumptions!$E$31,Assumptions!$E$12)</f>
        <v>0.02</v>
      </c>
      <c r="W558" s="54" t="n">
        <f aca="false">IF(W$531&gt;=Assumptions!$E$26,Assumptions!$E$31,Assumptions!$E$12)</f>
        <v>0.02</v>
      </c>
      <c r="X558" s="54" t="n">
        <f aca="false">IF(X$531&gt;=Assumptions!$E$26,Assumptions!$E$31,Assumptions!$E$12)</f>
        <v>0.02</v>
      </c>
      <c r="Y558" s="54" t="n">
        <f aca="false">IF(Y$531&gt;=Assumptions!$E$26,Assumptions!$E$31,Assumptions!$E$12)</f>
        <v>0.02</v>
      </c>
      <c r="Z558" s="54" t="n">
        <f aca="false">IF(Z$531&gt;=Assumptions!$E$26,Assumptions!$E$31,Assumptions!$E$12)</f>
        <v>0.02</v>
      </c>
      <c r="AA558" s="54" t="n">
        <f aca="false">IF(AA$531&gt;=Assumptions!$E$26,Assumptions!$E$31,Assumptions!$E$12)</f>
        <v>0.02</v>
      </c>
      <c r="AB558" s="34" t="n">
        <f aca="false">IF(AB535=0,0,AB539/AB535)</f>
        <v>0.025</v>
      </c>
      <c r="AC558" s="34" t="n">
        <f aca="false">IF(AC535=0,0,AC539/AC535)</f>
        <v>0.0221937024588714</v>
      </c>
    </row>
    <row r="559" customFormat="false" ht="15" hidden="false" customHeight="false" outlineLevel="0" collapsed="false">
      <c r="A559" s="3" t="s">
        <v>476</v>
      </c>
      <c r="B559" s="3" t="s">
        <v>66</v>
      </c>
      <c r="D559" s="54" t="n">
        <f aca="false">IF(D$531&lt;=3,Assumptions!$E$13,IF(D$531&lt;=6,Assumptions!$E$14,IF(D$531&lt;=12,Assumptions!$E$15,IF(D$531&lt;Assumptions!$E$26,Assumptions!$E$16,Assumptions!$E$27))))</f>
        <v>0.26</v>
      </c>
      <c r="E559" s="54" t="n">
        <f aca="false">IF(E$531&lt;=3,Assumptions!$E$13,IF(E$531&lt;=6,Assumptions!$E$14,IF(E$531&lt;=12,Assumptions!$E$15,IF(E$531&lt;Assumptions!$E$26,Assumptions!$E$16,Assumptions!$E$27))))</f>
        <v>0.26</v>
      </c>
      <c r="F559" s="54" t="n">
        <f aca="false">IF(F$531&lt;=3,Assumptions!$E$13,IF(F$531&lt;=6,Assumptions!$E$14,IF(F$531&lt;=12,Assumptions!$E$15,IF(F$531&lt;Assumptions!$E$26,Assumptions!$E$16,Assumptions!$E$27))))</f>
        <v>0.26</v>
      </c>
      <c r="G559" s="54" t="n">
        <f aca="false">IF(G$531&lt;=3,Assumptions!$E$13,IF(G$531&lt;=6,Assumptions!$E$14,IF(G$531&lt;=12,Assumptions!$E$15,IF(G$531&lt;Assumptions!$E$26,Assumptions!$E$16,Assumptions!$E$27))))</f>
        <v>0.18</v>
      </c>
      <c r="H559" s="54" t="n">
        <f aca="false">IF(H$531&lt;=3,Assumptions!$E$13,IF(H$531&lt;=6,Assumptions!$E$14,IF(H$531&lt;=12,Assumptions!$E$15,IF(H$531&lt;Assumptions!$E$26,Assumptions!$E$16,Assumptions!$E$27))))</f>
        <v>0.18</v>
      </c>
      <c r="I559" s="54" t="n">
        <f aca="false">IF(I$531&lt;=3,Assumptions!$E$13,IF(I$531&lt;=6,Assumptions!$E$14,IF(I$531&lt;=12,Assumptions!$E$15,IF(I$531&lt;Assumptions!$E$26,Assumptions!$E$16,Assumptions!$E$27))))</f>
        <v>0.18</v>
      </c>
      <c r="J559" s="54" t="n">
        <f aca="false">IF(J$531&lt;=3,Assumptions!$E$13,IF(J$531&lt;=6,Assumptions!$E$14,IF(J$531&lt;=12,Assumptions!$E$15,IF(J$531&lt;Assumptions!$E$26,Assumptions!$E$16,Assumptions!$E$27))))</f>
        <v>0.11</v>
      </c>
      <c r="K559" s="54" t="n">
        <f aca="false">IF(K$531&lt;=3,Assumptions!$E$13,IF(K$531&lt;=6,Assumptions!$E$14,IF(K$531&lt;=12,Assumptions!$E$15,IF(K$531&lt;Assumptions!$E$26,Assumptions!$E$16,Assumptions!$E$27))))</f>
        <v>0.11</v>
      </c>
      <c r="L559" s="54" t="n">
        <f aca="false">IF(L$531&lt;=3,Assumptions!$E$13,IF(L$531&lt;=6,Assumptions!$E$14,IF(L$531&lt;=12,Assumptions!$E$15,IF(L$531&lt;Assumptions!$E$26,Assumptions!$E$16,Assumptions!$E$27))))</f>
        <v>0.11</v>
      </c>
      <c r="M559" s="54" t="n">
        <f aca="false">IF(M$531&lt;=3,Assumptions!$E$13,IF(M$531&lt;=6,Assumptions!$E$14,IF(M$531&lt;=12,Assumptions!$E$15,IF(M$531&lt;Assumptions!$E$26,Assumptions!$E$16,Assumptions!$E$27))))</f>
        <v>0.11</v>
      </c>
      <c r="N559" s="54" t="n">
        <f aca="false">IF(N$531&lt;=3,Assumptions!$E$13,IF(N$531&lt;=6,Assumptions!$E$14,IF(N$531&lt;=12,Assumptions!$E$15,IF(N$531&lt;Assumptions!$E$26,Assumptions!$E$16,Assumptions!$E$27))))</f>
        <v>0.11</v>
      </c>
      <c r="O559" s="54" t="n">
        <f aca="false">IF(O$531&lt;=3,Assumptions!$E$13,IF(O$531&lt;=6,Assumptions!$E$14,IF(O$531&lt;=12,Assumptions!$E$15,IF(O$531&lt;Assumptions!$E$26,Assumptions!$E$16,Assumptions!$E$27))))</f>
        <v>0.11</v>
      </c>
      <c r="P559" s="54" t="n">
        <f aca="false">IF(P$531&lt;=3,Assumptions!$E$13,IF(P$531&lt;=6,Assumptions!$E$14,IF(P$531&lt;=12,Assumptions!$E$15,IF(P$531&lt;Assumptions!$E$26,Assumptions!$E$16,Assumptions!$E$27))))</f>
        <v>0.08</v>
      </c>
      <c r="Q559" s="54" t="n">
        <f aca="false">IF(Q$531&lt;=3,Assumptions!$E$13,IF(Q$531&lt;=6,Assumptions!$E$14,IF(Q$531&lt;=12,Assumptions!$E$15,IF(Q$531&lt;Assumptions!$E$26,Assumptions!$E$16,Assumptions!$E$27))))</f>
        <v>0.08</v>
      </c>
      <c r="R559" s="54" t="n">
        <f aca="false">IF(R$531&lt;=3,Assumptions!$E$13,IF(R$531&lt;=6,Assumptions!$E$14,IF(R$531&lt;=12,Assumptions!$E$15,IF(R$531&lt;Assumptions!$E$26,Assumptions!$E$16,Assumptions!$E$27))))</f>
        <v>0.08</v>
      </c>
      <c r="S559" s="54" t="n">
        <f aca="false">IF(S$531&lt;=3,Assumptions!$E$13,IF(S$531&lt;=6,Assumptions!$E$14,IF(S$531&lt;=12,Assumptions!$E$15,IF(S$531&lt;Assumptions!$E$26,Assumptions!$E$16,Assumptions!$E$27))))</f>
        <v>0.08</v>
      </c>
      <c r="T559" s="54" t="n">
        <f aca="false">IF(T$531&lt;=3,Assumptions!$E$13,IF(T$531&lt;=6,Assumptions!$E$14,IF(T$531&lt;=12,Assumptions!$E$15,IF(T$531&lt;Assumptions!$E$26,Assumptions!$E$16,Assumptions!$E$27))))</f>
        <v>0.08</v>
      </c>
      <c r="U559" s="54" t="n">
        <f aca="false">IF(U$531&lt;=3,Assumptions!$E$13,IF(U$531&lt;=6,Assumptions!$E$14,IF(U$531&lt;=12,Assumptions!$E$15,IF(U$531&lt;Assumptions!$E$26,Assumptions!$E$16,Assumptions!$E$27))))</f>
        <v>0.08</v>
      </c>
      <c r="V559" s="54" t="n">
        <f aca="false">IF(V$531&lt;=3,Assumptions!$E$13,IF(V$531&lt;=6,Assumptions!$E$14,IF(V$531&lt;=12,Assumptions!$E$15,IF(V$531&lt;Assumptions!$E$26,Assumptions!$E$16,Assumptions!$E$27))))</f>
        <v>0.095</v>
      </c>
      <c r="W559" s="54" t="n">
        <f aca="false">IF(W$531&lt;=3,Assumptions!$E$13,IF(W$531&lt;=6,Assumptions!$E$14,IF(W$531&lt;=12,Assumptions!$E$15,IF(W$531&lt;Assumptions!$E$26,Assumptions!$E$16,Assumptions!$E$27))))</f>
        <v>0.095</v>
      </c>
      <c r="X559" s="54" t="n">
        <f aca="false">IF(X$531&lt;=3,Assumptions!$E$13,IF(X$531&lt;=6,Assumptions!$E$14,IF(X$531&lt;=12,Assumptions!$E$15,IF(X$531&lt;Assumptions!$E$26,Assumptions!$E$16,Assumptions!$E$27))))</f>
        <v>0.095</v>
      </c>
      <c r="Y559" s="54" t="n">
        <f aca="false">IF(Y$531&lt;=3,Assumptions!$E$13,IF(Y$531&lt;=6,Assumptions!$E$14,IF(Y$531&lt;=12,Assumptions!$E$15,IF(Y$531&lt;Assumptions!$E$26,Assumptions!$E$16,Assumptions!$E$27))))</f>
        <v>0.095</v>
      </c>
      <c r="Z559" s="54" t="n">
        <f aca="false">IF(Z$531&lt;=3,Assumptions!$E$13,IF(Z$531&lt;=6,Assumptions!$E$14,IF(Z$531&lt;=12,Assumptions!$E$15,IF(Z$531&lt;Assumptions!$E$26,Assumptions!$E$16,Assumptions!$E$27))))</f>
        <v>0.095</v>
      </c>
      <c r="AA559" s="54" t="n">
        <f aca="false">IF(AA$531&lt;=3,Assumptions!$E$13,IF(AA$531&lt;=6,Assumptions!$E$14,IF(AA$531&lt;=12,Assumptions!$E$15,IF(AA$531&lt;Assumptions!$E$26,Assumptions!$E$16,Assumptions!$E$27))))</f>
        <v>0.095</v>
      </c>
      <c r="AB559" s="34" t="n">
        <f aca="false">IF(AB535=0,0,AB541/AB535)</f>
        <v>0.13127870649493</v>
      </c>
      <c r="AC559" s="34" t="n">
        <f aca="false">IF(AC535=0,0,AC541/AC535)</f>
        <v>0.0884188926233858</v>
      </c>
    </row>
    <row r="561" customFormat="false" ht="15" hidden="false" customHeight="false" outlineLevel="0" collapsed="false">
      <c r="A561" s="9" t="s">
        <v>477</v>
      </c>
    </row>
    <row r="562" customFormat="false" ht="15" hidden="false" customHeight="false" outlineLevel="0" collapsed="false">
      <c r="A562" s="9" t="s">
        <v>478</v>
      </c>
      <c r="B562" s="3" t="s">
        <v>62</v>
      </c>
      <c r="D562" s="61" t="n">
        <f aca="false">IF(D$531&gt;=13,D535*Assumptions!$E$49,0)</f>
        <v>0</v>
      </c>
      <c r="E562" s="61" t="n">
        <f aca="false">IF(E$531&gt;=13,E535*Assumptions!$E$49,0)</f>
        <v>0</v>
      </c>
      <c r="F562" s="61" t="n">
        <f aca="false">IF(F$531&gt;=13,F535*Assumptions!$E$49,0)</f>
        <v>0</v>
      </c>
      <c r="G562" s="61" t="n">
        <f aca="false">IF(G$531&gt;=13,G535*Assumptions!$E$49,0)</f>
        <v>0</v>
      </c>
      <c r="H562" s="61" t="n">
        <f aca="false">IF(H$531&gt;=13,H535*Assumptions!$E$49,0)</f>
        <v>0</v>
      </c>
      <c r="I562" s="61" t="n">
        <f aca="false">IF(I$531&gt;=13,I535*Assumptions!$E$49,0)</f>
        <v>0</v>
      </c>
      <c r="J562" s="61" t="n">
        <f aca="false">IF(J$531&gt;=13,J535*Assumptions!$E$49,0)</f>
        <v>0</v>
      </c>
      <c r="K562" s="61" t="n">
        <f aca="false">IF(K$531&gt;=13,K535*Assumptions!$E$49,0)</f>
        <v>0</v>
      </c>
      <c r="L562" s="61" t="n">
        <f aca="false">IF(L$531&gt;=13,L535*Assumptions!$E$49,0)</f>
        <v>0</v>
      </c>
      <c r="M562" s="61" t="n">
        <f aca="false">IF(M$531&gt;=13,M535*Assumptions!$E$49,0)</f>
        <v>0</v>
      </c>
      <c r="N562" s="61" t="n">
        <f aca="false">IF(N$531&gt;=13,N535*Assumptions!$E$49,0)</f>
        <v>0</v>
      </c>
      <c r="O562" s="61" t="n">
        <f aca="false">IF(O$531&gt;=13,O535*Assumptions!$E$49,0)</f>
        <v>0</v>
      </c>
      <c r="P562" s="61" t="n">
        <f aca="false">IF(P$531&gt;=13,P535*Assumptions!$E$49,0)</f>
        <v>11998.72</v>
      </c>
      <c r="Q562" s="61" t="n">
        <f aca="false">IF(Q$531&gt;=13,Q535*Assumptions!$E$49,0)</f>
        <v>13065.12</v>
      </c>
      <c r="R562" s="61" t="n">
        <f aca="false">IF(R$531&gt;=13,R535*Assumptions!$E$49,0)</f>
        <v>13863.2</v>
      </c>
      <c r="S562" s="61" t="n">
        <f aca="false">IF(S$531&gt;=13,S535*Assumptions!$E$49,0)</f>
        <v>14664.72</v>
      </c>
      <c r="T562" s="61" t="n">
        <f aca="false">IF(T$531&gt;=13,T535*Assumptions!$E$49,0)</f>
        <v>15462.8</v>
      </c>
      <c r="U562" s="61" t="n">
        <f aca="false">IF(U$531&gt;=13,U535*Assumptions!$E$49,0)</f>
        <v>16264.32</v>
      </c>
      <c r="V562" s="61" t="n">
        <f aca="false">IF(V$531&gt;=13,V535*Assumptions!$E$49,0)</f>
        <v>16814.72</v>
      </c>
      <c r="W562" s="61" t="n">
        <f aca="false">IF(W$531&gt;=13,W535*Assumptions!$E$49,0)</f>
        <v>17365.12</v>
      </c>
      <c r="X562" s="61" t="n">
        <f aca="false">IF(X$531&gt;=13,X535*Assumptions!$E$49,0)</f>
        <v>17915.52</v>
      </c>
      <c r="Y562" s="61" t="n">
        <f aca="false">IF(Y$531&gt;=13,Y535*Assumptions!$E$49,0)</f>
        <v>18465.92</v>
      </c>
      <c r="Z562" s="61" t="n">
        <f aca="false">IF(Z$531&gt;=13,Z535*Assumptions!$E$49,0)</f>
        <v>19016.32</v>
      </c>
      <c r="AA562" s="61" t="n">
        <f aca="false">IF(AA$531&gt;=13,AA535*Assumptions!$E$49,0)</f>
        <v>19566.72</v>
      </c>
      <c r="AB562" s="29" t="n">
        <f aca="false">SUM(D562:O562)</f>
        <v>0</v>
      </c>
      <c r="AC562" s="29" t="n">
        <f aca="false">SUM(P562:AA562)</f>
        <v>194463.2</v>
      </c>
    </row>
    <row r="563" customFormat="false" ht="15" hidden="false" customHeight="false" outlineLevel="0" collapsed="false">
      <c r="A563" s="3" t="s">
        <v>479</v>
      </c>
      <c r="B563" s="3" t="s">
        <v>95</v>
      </c>
      <c r="D563" s="31" t="n">
        <f aca="false">IF(D534=0,0,D562/D534)</f>
        <v>0</v>
      </c>
      <c r="E563" s="31" t="n">
        <f aca="false">IF(E534=0,0,E562/E534)</f>
        <v>0</v>
      </c>
      <c r="F563" s="31" t="n">
        <f aca="false">IF(F534=0,0,F562/F534)</f>
        <v>0</v>
      </c>
      <c r="G563" s="31" t="n">
        <f aca="false">IF(G534=0,0,G562/G534)</f>
        <v>0</v>
      </c>
      <c r="H563" s="31" t="n">
        <f aca="false">IF(H534=0,0,H562/H534)</f>
        <v>0</v>
      </c>
      <c r="I563" s="31" t="n">
        <f aca="false">IF(I534=0,0,I562/I534)</f>
        <v>0</v>
      </c>
      <c r="J563" s="31" t="n">
        <f aca="false">IF(J534=0,0,J562/J534)</f>
        <v>0</v>
      </c>
      <c r="K563" s="31" t="n">
        <f aca="false">IF(K534=0,0,K562/K534)</f>
        <v>0</v>
      </c>
      <c r="L563" s="31" t="n">
        <f aca="false">IF(L534=0,0,L562/L534)</f>
        <v>0</v>
      </c>
      <c r="M563" s="31" t="n">
        <f aca="false">IF(M534=0,0,M562/M534)</f>
        <v>0</v>
      </c>
      <c r="N563" s="31" t="n">
        <f aca="false">IF(N534=0,0,N562/N534)</f>
        <v>0</v>
      </c>
      <c r="O563" s="31" t="n">
        <f aca="false">IF(O534=0,0,O562/O534)</f>
        <v>0</v>
      </c>
      <c r="P563" s="31" t="n">
        <f aca="false">IF(P534=0,0,P562/P534)</f>
        <v>279.04</v>
      </c>
      <c r="Q563" s="31" t="n">
        <f aca="false">IF(Q534=0,0,Q562/Q534)</f>
        <v>303.84</v>
      </c>
      <c r="R563" s="31" t="n">
        <f aca="false">IF(R534=0,0,R562/R534)</f>
        <v>322.4</v>
      </c>
      <c r="S563" s="31" t="n">
        <f aca="false">IF(S534=0,0,S562/S534)</f>
        <v>341.04</v>
      </c>
      <c r="T563" s="31" t="n">
        <f aca="false">IF(T534=0,0,T562/T534)</f>
        <v>359.6</v>
      </c>
      <c r="U563" s="31" t="n">
        <f aca="false">IF(U534=0,0,U562/U534)</f>
        <v>378.24</v>
      </c>
      <c r="V563" s="31" t="n">
        <f aca="false">IF(V534=0,0,V562/V534)</f>
        <v>391.04</v>
      </c>
      <c r="W563" s="31" t="n">
        <f aca="false">IF(W534=0,0,W562/W534)</f>
        <v>403.84</v>
      </c>
      <c r="X563" s="31" t="n">
        <f aca="false">IF(X534=0,0,X562/X534)</f>
        <v>416.64</v>
      </c>
      <c r="Y563" s="31" t="n">
        <f aca="false">IF(Y534=0,0,Y562/Y534)</f>
        <v>429.44</v>
      </c>
      <c r="Z563" s="31" t="n">
        <f aca="false">IF(Z534=0,0,Z562/Z534)</f>
        <v>442.24</v>
      </c>
      <c r="AA563" s="31" t="n">
        <f aca="false">IF(AA534=0,0,AA562/AA534)</f>
        <v>455.04</v>
      </c>
      <c r="AB563" s="31" t="n">
        <f aca="false">SUM(D563:O563)</f>
        <v>0</v>
      </c>
      <c r="AC563" s="31" t="n">
        <f aca="false">SUM(P563:AA563)</f>
        <v>4522.4</v>
      </c>
    </row>
    <row r="564" customFormat="false" ht="15" hidden="false" customHeight="false" outlineLevel="0" collapsed="false">
      <c r="A564" s="3" t="s">
        <v>480</v>
      </c>
      <c r="B564" s="3" t="s">
        <v>62</v>
      </c>
      <c r="D564" s="38" t="n">
        <f aca="false">D562*D556</f>
        <v>0</v>
      </c>
      <c r="E564" s="38" t="n">
        <f aca="false">E562*E556</f>
        <v>0</v>
      </c>
      <c r="F564" s="38" t="n">
        <f aca="false">F562*F556</f>
        <v>0</v>
      </c>
      <c r="G564" s="38" t="n">
        <f aca="false">G562*G556</f>
        <v>0</v>
      </c>
      <c r="H564" s="38" t="n">
        <f aca="false">H562*H556</f>
        <v>0</v>
      </c>
      <c r="I564" s="38" t="n">
        <f aca="false">I562*I556</f>
        <v>0</v>
      </c>
      <c r="J564" s="38" t="n">
        <f aca="false">J562*J556</f>
        <v>0</v>
      </c>
      <c r="K564" s="38" t="n">
        <f aca="false">K562*K556</f>
        <v>0</v>
      </c>
      <c r="L564" s="38" t="n">
        <f aca="false">L562*L556</f>
        <v>0</v>
      </c>
      <c r="M564" s="38" t="n">
        <f aca="false">M562*M556</f>
        <v>0</v>
      </c>
      <c r="N564" s="38" t="n">
        <f aca="false">N562*N556</f>
        <v>0</v>
      </c>
      <c r="O564" s="38" t="n">
        <f aca="false">O562*O556</f>
        <v>0</v>
      </c>
      <c r="P564" s="38" t="n">
        <f aca="false">P562*P556</f>
        <v>3839.5904</v>
      </c>
      <c r="Q564" s="38" t="n">
        <f aca="false">Q562*Q556</f>
        <v>4180.8384</v>
      </c>
      <c r="R564" s="38" t="n">
        <f aca="false">R562*R556</f>
        <v>4436.224</v>
      </c>
      <c r="S564" s="38" t="n">
        <f aca="false">S562*S556</f>
        <v>4692.7104</v>
      </c>
      <c r="T564" s="38" t="n">
        <f aca="false">T562*T556</f>
        <v>4948.096</v>
      </c>
      <c r="U564" s="38" t="n">
        <f aca="false">U562*U556</f>
        <v>5204.5824</v>
      </c>
      <c r="V564" s="38" t="n">
        <f aca="false">V562*V556</f>
        <v>5212.5632</v>
      </c>
      <c r="W564" s="38" t="n">
        <f aca="false">W562*W556</f>
        <v>5383.1872</v>
      </c>
      <c r="X564" s="38" t="n">
        <f aca="false">X562*X556</f>
        <v>5553.8112</v>
      </c>
      <c r="Y564" s="38" t="n">
        <f aca="false">Y562*Y556</f>
        <v>5724.4352</v>
      </c>
      <c r="Z564" s="38" t="n">
        <f aca="false">Z562*Z556</f>
        <v>5895.0592</v>
      </c>
      <c r="AA564" s="38" t="n">
        <f aca="false">AA562*AA556</f>
        <v>6065.6832</v>
      </c>
      <c r="AB564" s="38" t="n">
        <f aca="false">SUM(D564:O564)</f>
        <v>0</v>
      </c>
      <c r="AC564" s="38" t="n">
        <f aca="false">SUM(P564:AA564)</f>
        <v>61136.7808</v>
      </c>
    </row>
    <row r="565" customFormat="false" ht="15" hidden="false" customHeight="false" outlineLevel="0" collapsed="false">
      <c r="A565" s="3" t="s">
        <v>481</v>
      </c>
      <c r="B565" s="3" t="s">
        <v>62</v>
      </c>
      <c r="D565" s="60" t="n">
        <f aca="false">D562*Assumptions!$E$66</f>
        <v>0</v>
      </c>
      <c r="E565" s="60" t="n">
        <f aca="false">E562*Assumptions!$E$66</f>
        <v>0</v>
      </c>
      <c r="F565" s="60" t="n">
        <f aca="false">F562*Assumptions!$E$66</f>
        <v>0</v>
      </c>
      <c r="G565" s="60" t="n">
        <f aca="false">G562*Assumptions!$E$66</f>
        <v>0</v>
      </c>
      <c r="H565" s="60" t="n">
        <f aca="false">H562*Assumptions!$E$66</f>
        <v>0</v>
      </c>
      <c r="I565" s="60" t="n">
        <f aca="false">I562*Assumptions!$E$66</f>
        <v>0</v>
      </c>
      <c r="J565" s="60" t="n">
        <f aca="false">J562*Assumptions!$E$66</f>
        <v>0</v>
      </c>
      <c r="K565" s="60" t="n">
        <f aca="false">K562*Assumptions!$E$66</f>
        <v>0</v>
      </c>
      <c r="L565" s="60" t="n">
        <f aca="false">L562*Assumptions!$E$66</f>
        <v>0</v>
      </c>
      <c r="M565" s="60" t="n">
        <f aca="false">M562*Assumptions!$E$66</f>
        <v>0</v>
      </c>
      <c r="N565" s="60" t="n">
        <f aca="false">N562*Assumptions!$E$66</f>
        <v>0</v>
      </c>
      <c r="O565" s="60" t="n">
        <f aca="false">O562*Assumptions!$E$66</f>
        <v>0</v>
      </c>
      <c r="P565" s="60" t="n">
        <f aca="false">P562*Assumptions!$E$66</f>
        <v>1559.8336</v>
      </c>
      <c r="Q565" s="60" t="n">
        <f aca="false">Q562*Assumptions!$E$66</f>
        <v>1698.4656</v>
      </c>
      <c r="R565" s="60" t="n">
        <f aca="false">R562*Assumptions!$E$66</f>
        <v>1802.216</v>
      </c>
      <c r="S565" s="60" t="n">
        <f aca="false">S562*Assumptions!$E$66</f>
        <v>1906.4136</v>
      </c>
      <c r="T565" s="60" t="n">
        <f aca="false">T562*Assumptions!$E$66</f>
        <v>2010.164</v>
      </c>
      <c r="U565" s="60" t="n">
        <f aca="false">U562*Assumptions!$E$66</f>
        <v>2114.3616</v>
      </c>
      <c r="V565" s="60" t="n">
        <f aca="false">V562*Assumptions!$E$66</f>
        <v>2185.9136</v>
      </c>
      <c r="W565" s="60" t="n">
        <f aca="false">W562*Assumptions!$E$66</f>
        <v>2257.4656</v>
      </c>
      <c r="X565" s="60" t="n">
        <f aca="false">X562*Assumptions!$E$66</f>
        <v>2329.0176</v>
      </c>
      <c r="Y565" s="60" t="n">
        <f aca="false">Y562*Assumptions!$E$66</f>
        <v>2400.5696</v>
      </c>
      <c r="Z565" s="60" t="n">
        <f aca="false">Z562*Assumptions!$E$66</f>
        <v>2472.1216</v>
      </c>
      <c r="AA565" s="60" t="n">
        <f aca="false">AA562*Assumptions!$E$66</f>
        <v>2543.6736</v>
      </c>
      <c r="AB565" s="38" t="n">
        <f aca="false">SUM(D565:O565)</f>
        <v>0</v>
      </c>
      <c r="AC565" s="38" t="n">
        <f aca="false">SUM(P565:AA565)</f>
        <v>25280.216</v>
      </c>
    </row>
    <row r="566" customFormat="false" ht="15" hidden="false" customHeight="false" outlineLevel="0" collapsed="false">
      <c r="A566" s="3" t="s">
        <v>482</v>
      </c>
      <c r="B566" s="3" t="s">
        <v>62</v>
      </c>
      <c r="D566" s="60" t="n">
        <f aca="false">D563*Assumptions!$E$67</f>
        <v>0</v>
      </c>
      <c r="E566" s="60" t="n">
        <f aca="false">E563*Assumptions!$E$67</f>
        <v>0</v>
      </c>
      <c r="F566" s="60" t="n">
        <f aca="false">F563*Assumptions!$E$67</f>
        <v>0</v>
      </c>
      <c r="G566" s="60" t="n">
        <f aca="false">G563*Assumptions!$E$67</f>
        <v>0</v>
      </c>
      <c r="H566" s="60" t="n">
        <f aca="false">H563*Assumptions!$E$67</f>
        <v>0</v>
      </c>
      <c r="I566" s="60" t="n">
        <f aca="false">I563*Assumptions!$E$67</f>
        <v>0</v>
      </c>
      <c r="J566" s="60" t="n">
        <f aca="false">J563*Assumptions!$E$67</f>
        <v>0</v>
      </c>
      <c r="K566" s="60" t="n">
        <f aca="false">K563*Assumptions!$E$67</f>
        <v>0</v>
      </c>
      <c r="L566" s="60" t="n">
        <f aca="false">L563*Assumptions!$E$67</f>
        <v>0</v>
      </c>
      <c r="M566" s="60" t="n">
        <f aca="false">M563*Assumptions!$E$67</f>
        <v>0</v>
      </c>
      <c r="N566" s="60" t="n">
        <f aca="false">N563*Assumptions!$E$67</f>
        <v>0</v>
      </c>
      <c r="O566" s="60" t="n">
        <f aca="false">O563*Assumptions!$E$67</f>
        <v>0</v>
      </c>
      <c r="P566" s="60" t="n">
        <f aca="false">P563*Assumptions!$E$67</f>
        <v>1813.76</v>
      </c>
      <c r="Q566" s="60" t="n">
        <f aca="false">Q563*Assumptions!$E$67</f>
        <v>1974.96</v>
      </c>
      <c r="R566" s="60" t="n">
        <f aca="false">R563*Assumptions!$E$67</f>
        <v>2095.6</v>
      </c>
      <c r="S566" s="60" t="n">
        <f aca="false">S563*Assumptions!$E$67</f>
        <v>2216.76</v>
      </c>
      <c r="T566" s="60" t="n">
        <f aca="false">T563*Assumptions!$E$67</f>
        <v>2337.4</v>
      </c>
      <c r="U566" s="60" t="n">
        <f aca="false">U563*Assumptions!$E$67</f>
        <v>2458.56</v>
      </c>
      <c r="V566" s="60" t="n">
        <f aca="false">V563*Assumptions!$E$67</f>
        <v>2541.76</v>
      </c>
      <c r="W566" s="60" t="n">
        <f aca="false">W563*Assumptions!$E$67</f>
        <v>2624.96</v>
      </c>
      <c r="X566" s="60" t="n">
        <f aca="false">X563*Assumptions!$E$67</f>
        <v>2708.16</v>
      </c>
      <c r="Y566" s="60" t="n">
        <f aca="false">Y563*Assumptions!$E$67</f>
        <v>2791.36</v>
      </c>
      <c r="Z566" s="60" t="n">
        <f aca="false">Z563*Assumptions!$E$67</f>
        <v>2874.56</v>
      </c>
      <c r="AA566" s="60" t="n">
        <f aca="false">AA563*Assumptions!$E$67</f>
        <v>2957.76</v>
      </c>
      <c r="AB566" s="38" t="n">
        <f aca="false">SUM(D566:O566)</f>
        <v>0</v>
      </c>
      <c r="AC566" s="38" t="n">
        <f aca="false">SUM(P566:AA566)</f>
        <v>29395.6</v>
      </c>
    </row>
    <row r="567" customFormat="false" ht="15" hidden="false" customHeight="false" outlineLevel="0" collapsed="false">
      <c r="A567" s="3" t="s">
        <v>483</v>
      </c>
      <c r="B567" s="3" t="s">
        <v>62</v>
      </c>
      <c r="D567" s="60" t="n">
        <f aca="false">D562*Assumptions!$E$68</f>
        <v>0</v>
      </c>
      <c r="E567" s="60" t="n">
        <f aca="false">E562*Assumptions!$E$68</f>
        <v>0</v>
      </c>
      <c r="F567" s="60" t="n">
        <f aca="false">F562*Assumptions!$E$68</f>
        <v>0</v>
      </c>
      <c r="G567" s="60" t="n">
        <f aca="false">G562*Assumptions!$E$68</f>
        <v>0</v>
      </c>
      <c r="H567" s="60" t="n">
        <f aca="false">H562*Assumptions!$E$68</f>
        <v>0</v>
      </c>
      <c r="I567" s="60" t="n">
        <f aca="false">I562*Assumptions!$E$68</f>
        <v>0</v>
      </c>
      <c r="J567" s="60" t="n">
        <f aca="false">J562*Assumptions!$E$68</f>
        <v>0</v>
      </c>
      <c r="K567" s="60" t="n">
        <f aca="false">K562*Assumptions!$E$68</f>
        <v>0</v>
      </c>
      <c r="L567" s="60" t="n">
        <f aca="false">L562*Assumptions!$E$68</f>
        <v>0</v>
      </c>
      <c r="M567" s="60" t="n">
        <f aca="false">M562*Assumptions!$E$68</f>
        <v>0</v>
      </c>
      <c r="N567" s="60" t="n">
        <f aca="false">N562*Assumptions!$E$68</f>
        <v>0</v>
      </c>
      <c r="O567" s="60" t="n">
        <f aca="false">O562*Assumptions!$E$68</f>
        <v>0</v>
      </c>
      <c r="P567" s="60" t="n">
        <f aca="false">P562*Assumptions!$E$68</f>
        <v>599.936</v>
      </c>
      <c r="Q567" s="60" t="n">
        <f aca="false">Q562*Assumptions!$E$68</f>
        <v>653.256</v>
      </c>
      <c r="R567" s="60" t="n">
        <f aca="false">R562*Assumptions!$E$68</f>
        <v>693.16</v>
      </c>
      <c r="S567" s="60" t="n">
        <f aca="false">S562*Assumptions!$E$68</f>
        <v>733.236</v>
      </c>
      <c r="T567" s="60" t="n">
        <f aca="false">T562*Assumptions!$E$68</f>
        <v>773.14</v>
      </c>
      <c r="U567" s="60" t="n">
        <f aca="false">U562*Assumptions!$E$68</f>
        <v>813.216</v>
      </c>
      <c r="V567" s="60" t="n">
        <f aca="false">V562*Assumptions!$E$68</f>
        <v>840.736</v>
      </c>
      <c r="W567" s="60" t="n">
        <f aca="false">W562*Assumptions!$E$68</f>
        <v>868.256</v>
      </c>
      <c r="X567" s="60" t="n">
        <f aca="false">X562*Assumptions!$E$68</f>
        <v>895.776</v>
      </c>
      <c r="Y567" s="60" t="n">
        <f aca="false">Y562*Assumptions!$E$68</f>
        <v>923.296</v>
      </c>
      <c r="Z567" s="60" t="n">
        <f aca="false">Z562*Assumptions!$E$68</f>
        <v>950.816</v>
      </c>
      <c r="AA567" s="60" t="n">
        <f aca="false">AA562*Assumptions!$E$68</f>
        <v>978.336</v>
      </c>
      <c r="AB567" s="38" t="n">
        <f aca="false">SUM(D567:O567)</f>
        <v>0</v>
      </c>
      <c r="AC567" s="38" t="n">
        <f aca="false">SUM(P567:AA567)</f>
        <v>9723.16</v>
      </c>
    </row>
    <row r="568" customFormat="false" ht="15" hidden="false" customHeight="false" outlineLevel="0" collapsed="false">
      <c r="A568" s="3" t="s">
        <v>484</v>
      </c>
      <c r="B568" s="3" t="s">
        <v>62</v>
      </c>
      <c r="D568" s="60" t="n">
        <f aca="false">D562*Assumptions!$E$69</f>
        <v>0</v>
      </c>
      <c r="E568" s="60" t="n">
        <f aca="false">E562*Assumptions!$E$69</f>
        <v>0</v>
      </c>
      <c r="F568" s="60" t="n">
        <f aca="false">F562*Assumptions!$E$69</f>
        <v>0</v>
      </c>
      <c r="G568" s="60" t="n">
        <f aca="false">G562*Assumptions!$E$69</f>
        <v>0</v>
      </c>
      <c r="H568" s="60" t="n">
        <f aca="false">H562*Assumptions!$E$69</f>
        <v>0</v>
      </c>
      <c r="I568" s="60" t="n">
        <f aca="false">I562*Assumptions!$E$69</f>
        <v>0</v>
      </c>
      <c r="J568" s="60" t="n">
        <f aca="false">J562*Assumptions!$E$69</f>
        <v>0</v>
      </c>
      <c r="K568" s="60" t="n">
        <f aca="false">K562*Assumptions!$E$69</f>
        <v>0</v>
      </c>
      <c r="L568" s="60" t="n">
        <f aca="false">L562*Assumptions!$E$69</f>
        <v>0</v>
      </c>
      <c r="M568" s="60" t="n">
        <f aca="false">M562*Assumptions!$E$69</f>
        <v>0</v>
      </c>
      <c r="N568" s="60" t="n">
        <f aca="false">N562*Assumptions!$E$69</f>
        <v>0</v>
      </c>
      <c r="O568" s="60" t="n">
        <f aca="false">O562*Assumptions!$E$69</f>
        <v>0</v>
      </c>
      <c r="P568" s="60" t="n">
        <f aca="false">P562*Assumptions!$E$69</f>
        <v>359.9616</v>
      </c>
      <c r="Q568" s="60" t="n">
        <f aca="false">Q562*Assumptions!$E$69</f>
        <v>391.9536</v>
      </c>
      <c r="R568" s="60" t="n">
        <f aca="false">R562*Assumptions!$E$69</f>
        <v>415.896</v>
      </c>
      <c r="S568" s="60" t="n">
        <f aca="false">S562*Assumptions!$E$69</f>
        <v>439.9416</v>
      </c>
      <c r="T568" s="60" t="n">
        <f aca="false">T562*Assumptions!$E$69</f>
        <v>463.884</v>
      </c>
      <c r="U568" s="60" t="n">
        <f aca="false">U562*Assumptions!$E$69</f>
        <v>487.9296</v>
      </c>
      <c r="V568" s="60" t="n">
        <f aca="false">V562*Assumptions!$E$69</f>
        <v>504.4416</v>
      </c>
      <c r="W568" s="60" t="n">
        <f aca="false">W562*Assumptions!$E$69</f>
        <v>520.9536</v>
      </c>
      <c r="X568" s="60" t="n">
        <f aca="false">X562*Assumptions!$E$69</f>
        <v>537.4656</v>
      </c>
      <c r="Y568" s="60" t="n">
        <f aca="false">Y562*Assumptions!$E$69</f>
        <v>553.9776</v>
      </c>
      <c r="Z568" s="60" t="n">
        <f aca="false">Z562*Assumptions!$E$69</f>
        <v>570.4896</v>
      </c>
      <c r="AA568" s="60" t="n">
        <f aca="false">AA562*Assumptions!$E$69</f>
        <v>587.0016</v>
      </c>
      <c r="AB568" s="38" t="n">
        <f aca="false">SUM(D568:O568)</f>
        <v>0</v>
      </c>
      <c r="AC568" s="38" t="n">
        <f aca="false">SUM(P568:AA568)</f>
        <v>5833.896</v>
      </c>
    </row>
    <row r="569" customFormat="false" ht="15" hidden="false" customHeight="false" outlineLevel="0" collapsed="false">
      <c r="A569" s="9" t="s">
        <v>485</v>
      </c>
      <c r="B569" s="3" t="s">
        <v>62</v>
      </c>
      <c r="D569" s="29" t="n">
        <f aca="false">D562-D564-D565-D566-D567-D568</f>
        <v>0</v>
      </c>
      <c r="E569" s="29" t="n">
        <f aca="false">E562-E564-E565-E566-E567-E568</f>
        <v>0</v>
      </c>
      <c r="F569" s="29" t="n">
        <f aca="false">F562-F564-F565-F566-F567-F568</f>
        <v>0</v>
      </c>
      <c r="G569" s="29" t="n">
        <f aca="false">G562-G564-G565-G566-G567-G568</f>
        <v>0</v>
      </c>
      <c r="H569" s="29" t="n">
        <f aca="false">H562-H564-H565-H566-H567-H568</f>
        <v>0</v>
      </c>
      <c r="I569" s="29" t="n">
        <f aca="false">I562-I564-I565-I566-I567-I568</f>
        <v>0</v>
      </c>
      <c r="J569" s="29" t="n">
        <f aca="false">J562-J564-J565-J566-J567-J568</f>
        <v>0</v>
      </c>
      <c r="K569" s="29" t="n">
        <f aca="false">K562-K564-K565-K566-K567-K568</f>
        <v>0</v>
      </c>
      <c r="L569" s="29" t="n">
        <f aca="false">L562-L564-L565-L566-L567-L568</f>
        <v>0</v>
      </c>
      <c r="M569" s="29" t="n">
        <f aca="false">M562-M564-M565-M566-M567-M568</f>
        <v>0</v>
      </c>
      <c r="N569" s="29" t="n">
        <f aca="false">N562-N564-N565-N566-N567-N568</f>
        <v>0</v>
      </c>
      <c r="O569" s="29" t="n">
        <f aca="false">O562-O564-O565-O566-O567-O568</f>
        <v>0</v>
      </c>
      <c r="P569" s="29" t="n">
        <f aca="false">P562-P564-P565-P566-P567-P568</f>
        <v>3825.6384</v>
      </c>
      <c r="Q569" s="29" t="n">
        <f aca="false">Q562-Q564-Q565-Q566-Q567-Q568</f>
        <v>4165.6464</v>
      </c>
      <c r="R569" s="29" t="n">
        <f aca="false">R562-R564-R565-R566-R567-R568</f>
        <v>4420.104</v>
      </c>
      <c r="S569" s="29" t="n">
        <f aca="false">S562-S564-S565-S566-S567-S568</f>
        <v>4675.6584</v>
      </c>
      <c r="T569" s="29" t="n">
        <f aca="false">T562-T564-T565-T566-T567-T568</f>
        <v>4930.116</v>
      </c>
      <c r="U569" s="29" t="n">
        <f aca="false">U562-U564-U565-U566-U567-U568</f>
        <v>5185.6704</v>
      </c>
      <c r="V569" s="29" t="n">
        <f aca="false">V562-V564-V565-V566-V567-V568</f>
        <v>5529.3056</v>
      </c>
      <c r="W569" s="29" t="n">
        <f aca="false">W562-W564-W565-W566-W567-W568</f>
        <v>5710.2976</v>
      </c>
      <c r="X569" s="29" t="n">
        <f aca="false">X562-X564-X565-X566-X567-X568</f>
        <v>5891.2896</v>
      </c>
      <c r="Y569" s="29" t="n">
        <f aca="false">Y562-Y564-Y565-Y566-Y567-Y568</f>
        <v>6072.2816</v>
      </c>
      <c r="Z569" s="29" t="n">
        <f aca="false">Z562-Z564-Z565-Z566-Z567-Z568</f>
        <v>6253.2736</v>
      </c>
      <c r="AA569" s="29" t="n">
        <f aca="false">AA562-AA564-AA565-AA566-AA567-AA568</f>
        <v>6434.2656</v>
      </c>
      <c r="AB569" s="29" t="n">
        <f aca="false">SUM(D569:O569)</f>
        <v>0</v>
      </c>
      <c r="AC569" s="29" t="n">
        <f aca="false">SUM(P569:AA569)</f>
        <v>63093.5472</v>
      </c>
    </row>
    <row r="570" customFormat="false" ht="15" hidden="false" customHeight="false" outlineLevel="0" collapsed="false">
      <c r="A570" s="9" t="s">
        <v>486</v>
      </c>
      <c r="B570" s="3" t="s">
        <v>62</v>
      </c>
      <c r="D570" s="61" t="n">
        <f aca="false">IF(D$531&gt;=13,Assumptions!$E$53/12,0)</f>
        <v>0</v>
      </c>
      <c r="E570" s="61" t="n">
        <f aca="false">IF(E$531&gt;=13,Assumptions!$E$53/12,0)</f>
        <v>0</v>
      </c>
      <c r="F570" s="61" t="n">
        <f aca="false">IF(F$531&gt;=13,Assumptions!$E$53/12,0)</f>
        <v>0</v>
      </c>
      <c r="G570" s="61" t="n">
        <f aca="false">IF(G$531&gt;=13,Assumptions!$E$53/12,0)</f>
        <v>0</v>
      </c>
      <c r="H570" s="61" t="n">
        <f aca="false">IF(H$531&gt;=13,Assumptions!$E$53/12,0)</f>
        <v>0</v>
      </c>
      <c r="I570" s="61" t="n">
        <f aca="false">IF(I$531&gt;=13,Assumptions!$E$53/12,0)</f>
        <v>0</v>
      </c>
      <c r="J570" s="61" t="n">
        <f aca="false">IF(J$531&gt;=13,Assumptions!$E$53/12,0)</f>
        <v>0</v>
      </c>
      <c r="K570" s="61" t="n">
        <f aca="false">IF(K$531&gt;=13,Assumptions!$E$53/12,0)</f>
        <v>0</v>
      </c>
      <c r="L570" s="61" t="n">
        <f aca="false">IF(L$531&gt;=13,Assumptions!$E$53/12,0)</f>
        <v>0</v>
      </c>
      <c r="M570" s="61" t="n">
        <f aca="false">IF(M$531&gt;=13,Assumptions!$E$53/12,0)</f>
        <v>0</v>
      </c>
      <c r="N570" s="61" t="n">
        <f aca="false">IF(N$531&gt;=13,Assumptions!$E$53/12,0)</f>
        <v>0</v>
      </c>
      <c r="O570" s="61" t="n">
        <f aca="false">IF(O$531&gt;=13,Assumptions!$E$53/12,0)</f>
        <v>0</v>
      </c>
      <c r="P570" s="61" t="n">
        <f aca="false">IF(P$531&gt;=13,Assumptions!$E$53/12,0)</f>
        <v>18000</v>
      </c>
      <c r="Q570" s="61" t="n">
        <f aca="false">IF(Q$531&gt;=13,Assumptions!$E$53/12,0)</f>
        <v>18000</v>
      </c>
      <c r="R570" s="61" t="n">
        <f aca="false">IF(R$531&gt;=13,Assumptions!$E$53/12,0)</f>
        <v>18000</v>
      </c>
      <c r="S570" s="61" t="n">
        <f aca="false">IF(S$531&gt;=13,Assumptions!$E$53/12,0)</f>
        <v>18000</v>
      </c>
      <c r="T570" s="61" t="n">
        <f aca="false">IF(T$531&gt;=13,Assumptions!$E$53/12,0)</f>
        <v>18000</v>
      </c>
      <c r="U570" s="61" t="n">
        <f aca="false">IF(U$531&gt;=13,Assumptions!$E$53/12,0)</f>
        <v>18000</v>
      </c>
      <c r="V570" s="61" t="n">
        <f aca="false">IF(V$531&gt;=13,Assumptions!$E$53/12,0)</f>
        <v>18000</v>
      </c>
      <c r="W570" s="61" t="n">
        <f aca="false">IF(W$531&gt;=13,Assumptions!$E$53/12,0)</f>
        <v>18000</v>
      </c>
      <c r="X570" s="61" t="n">
        <f aca="false">IF(X$531&gt;=13,Assumptions!$E$53/12,0)</f>
        <v>18000</v>
      </c>
      <c r="Y570" s="61" t="n">
        <f aca="false">IF(Y$531&gt;=13,Assumptions!$E$53/12,0)</f>
        <v>18000</v>
      </c>
      <c r="Z570" s="61" t="n">
        <f aca="false">IF(Z$531&gt;=13,Assumptions!$E$53/12,0)</f>
        <v>18000</v>
      </c>
      <c r="AA570" s="61" t="n">
        <f aca="false">IF(AA$531&gt;=13,Assumptions!$E$53/12,0)</f>
        <v>18000</v>
      </c>
      <c r="AB570" s="29" t="n">
        <f aca="false">SUM(D570:O570)</f>
        <v>0</v>
      </c>
      <c r="AC570" s="29" t="n">
        <f aca="false">SUM(P570:AA570)</f>
        <v>216000</v>
      </c>
    </row>
    <row r="571" customFormat="false" ht="15" hidden="false" customHeight="false" outlineLevel="0" collapsed="false">
      <c r="A571" s="3" t="s">
        <v>487</v>
      </c>
      <c r="B571" s="3" t="s">
        <v>95</v>
      </c>
      <c r="D571" s="62" t="n">
        <f aca="false">IF(D534=0,0,D570/(D534*Assumptions!$E$70))</f>
        <v>0</v>
      </c>
      <c r="E571" s="62" t="n">
        <f aca="false">IF(E534=0,0,E570/(E534*Assumptions!$E$70))</f>
        <v>0</v>
      </c>
      <c r="F571" s="62" t="n">
        <f aca="false">IF(F534=0,0,F570/(F534*Assumptions!$E$70))</f>
        <v>0</v>
      </c>
      <c r="G571" s="62" t="n">
        <f aca="false">IF(G534=0,0,G570/(G534*Assumptions!$E$70))</f>
        <v>0</v>
      </c>
      <c r="H571" s="62" t="n">
        <f aca="false">IF(H534=0,0,H570/(H534*Assumptions!$E$70))</f>
        <v>0</v>
      </c>
      <c r="I571" s="62" t="n">
        <f aca="false">IF(I534=0,0,I570/(I534*Assumptions!$E$70))</f>
        <v>0</v>
      </c>
      <c r="J571" s="62" t="n">
        <f aca="false">IF(J534=0,0,J570/(J534*Assumptions!$E$70))</f>
        <v>0</v>
      </c>
      <c r="K571" s="62" t="n">
        <f aca="false">IF(K534=0,0,K570/(K534*Assumptions!$E$70))</f>
        <v>0</v>
      </c>
      <c r="L571" s="62" t="n">
        <f aca="false">IF(L534=0,0,L570/(L534*Assumptions!$E$70))</f>
        <v>0</v>
      </c>
      <c r="M571" s="62" t="n">
        <f aca="false">IF(M534=0,0,M570/(M534*Assumptions!$E$70))</f>
        <v>0</v>
      </c>
      <c r="N571" s="62" t="n">
        <f aca="false">IF(N534=0,0,N570/(N534*Assumptions!$E$70))</f>
        <v>0</v>
      </c>
      <c r="O571" s="62" t="n">
        <f aca="false">IF(O534=0,0,O570/(O534*Assumptions!$E$70))</f>
        <v>0</v>
      </c>
      <c r="P571" s="62" t="n">
        <f aca="false">IF(P534=0,0,P570/(P534*Assumptions!$E$70))</f>
        <v>697.674418604651</v>
      </c>
      <c r="Q571" s="62" t="n">
        <f aca="false">IF(Q534=0,0,Q570/(Q534*Assumptions!$E$70))</f>
        <v>697.674418604651</v>
      </c>
      <c r="R571" s="62" t="n">
        <f aca="false">IF(R534=0,0,R570/(R534*Assumptions!$E$70))</f>
        <v>697.674418604651</v>
      </c>
      <c r="S571" s="62" t="n">
        <f aca="false">IF(S534=0,0,S570/(S534*Assumptions!$E$70))</f>
        <v>697.674418604651</v>
      </c>
      <c r="T571" s="62" t="n">
        <f aca="false">IF(T534=0,0,T570/(T534*Assumptions!$E$70))</f>
        <v>697.674418604651</v>
      </c>
      <c r="U571" s="62" t="n">
        <f aca="false">IF(U534=0,0,U570/(U534*Assumptions!$E$70))</f>
        <v>697.674418604651</v>
      </c>
      <c r="V571" s="62" t="n">
        <f aca="false">IF(V534=0,0,V570/(V534*Assumptions!$E$70))</f>
        <v>697.674418604651</v>
      </c>
      <c r="W571" s="62" t="n">
        <f aca="false">IF(W534=0,0,W570/(W534*Assumptions!$E$70))</f>
        <v>697.674418604651</v>
      </c>
      <c r="X571" s="62" t="n">
        <f aca="false">IF(X534=0,0,X570/(X534*Assumptions!$E$70))</f>
        <v>697.674418604651</v>
      </c>
      <c r="Y571" s="62" t="n">
        <f aca="false">IF(Y534=0,0,Y570/(Y534*Assumptions!$E$70))</f>
        <v>697.674418604651</v>
      </c>
      <c r="Z571" s="62" t="n">
        <f aca="false">IF(Z534=0,0,Z570/(Z534*Assumptions!$E$70))</f>
        <v>697.674418604651</v>
      </c>
      <c r="AA571" s="62" t="n">
        <f aca="false">IF(AA534=0,0,AA570/(AA534*Assumptions!$E$70))</f>
        <v>697.674418604651</v>
      </c>
      <c r="AB571" s="31" t="n">
        <f aca="false">SUM(D571:O571)</f>
        <v>0</v>
      </c>
      <c r="AC571" s="31" t="n">
        <f aca="false">SUM(P571:AA571)</f>
        <v>8372.09302325581</v>
      </c>
    </row>
    <row r="572" customFormat="false" ht="15" hidden="false" customHeight="false" outlineLevel="0" collapsed="false">
      <c r="A572" s="3" t="s">
        <v>488</v>
      </c>
      <c r="B572" s="3" t="s">
        <v>62</v>
      </c>
      <c r="D572" s="38" t="n">
        <f aca="false">D571*D534*D556</f>
        <v>0</v>
      </c>
      <c r="E572" s="38" t="n">
        <f aca="false">E571*E534*E556</f>
        <v>0</v>
      </c>
      <c r="F572" s="38" t="n">
        <f aca="false">F571*F534*F556</f>
        <v>0</v>
      </c>
      <c r="G572" s="38" t="n">
        <f aca="false">G571*G534*G556</f>
        <v>0</v>
      </c>
      <c r="H572" s="38" t="n">
        <f aca="false">H571*H534*H556</f>
        <v>0</v>
      </c>
      <c r="I572" s="38" t="n">
        <f aca="false">I571*I534*I556</f>
        <v>0</v>
      </c>
      <c r="J572" s="38" t="n">
        <f aca="false">J571*J534*J556</f>
        <v>0</v>
      </c>
      <c r="K572" s="38" t="n">
        <f aca="false">K571*K534*K556</f>
        <v>0</v>
      </c>
      <c r="L572" s="38" t="n">
        <f aca="false">L571*L534*L556</f>
        <v>0</v>
      </c>
      <c r="M572" s="38" t="n">
        <f aca="false">M571*M534*M556</f>
        <v>0</v>
      </c>
      <c r="N572" s="38" t="n">
        <f aca="false">N571*N534*N556</f>
        <v>0</v>
      </c>
      <c r="O572" s="38" t="n">
        <f aca="false">O571*O534*O556</f>
        <v>0</v>
      </c>
      <c r="P572" s="38" t="n">
        <f aca="false">P571*P534*P556</f>
        <v>9600</v>
      </c>
      <c r="Q572" s="38" t="n">
        <f aca="false">Q571*Q534*Q556</f>
        <v>9600</v>
      </c>
      <c r="R572" s="38" t="n">
        <f aca="false">R571*R534*R556</f>
        <v>9600</v>
      </c>
      <c r="S572" s="38" t="n">
        <f aca="false">S571*S534*S556</f>
        <v>9600</v>
      </c>
      <c r="T572" s="38" t="n">
        <f aca="false">T571*T534*T556</f>
        <v>9600</v>
      </c>
      <c r="U572" s="38" t="n">
        <f aca="false">U571*U534*U556</f>
        <v>9600</v>
      </c>
      <c r="V572" s="38" t="n">
        <f aca="false">V571*V534*V556</f>
        <v>9300</v>
      </c>
      <c r="W572" s="38" t="n">
        <f aca="false">W571*W534*W556</f>
        <v>9300</v>
      </c>
      <c r="X572" s="38" t="n">
        <f aca="false">X571*X534*X556</f>
        <v>9300</v>
      </c>
      <c r="Y572" s="38" t="n">
        <f aca="false">Y571*Y534*Y556</f>
        <v>9300</v>
      </c>
      <c r="Z572" s="38" t="n">
        <f aca="false">Z571*Z534*Z556</f>
        <v>9300</v>
      </c>
      <c r="AA572" s="38" t="n">
        <f aca="false">AA571*AA534*AA556</f>
        <v>9300</v>
      </c>
      <c r="AB572" s="38" t="n">
        <f aca="false">SUM(D572:O572)</f>
        <v>0</v>
      </c>
      <c r="AC572" s="38" t="n">
        <f aca="false">SUM(P572:AA572)</f>
        <v>113400</v>
      </c>
    </row>
    <row r="573" customFormat="false" ht="15" hidden="false" customHeight="false" outlineLevel="0" collapsed="false">
      <c r="A573" s="3" t="s">
        <v>489</v>
      </c>
      <c r="B573" s="3" t="s">
        <v>62</v>
      </c>
      <c r="D573" s="60" t="n">
        <f aca="false">D571*Assumptions!$E$71</f>
        <v>0</v>
      </c>
      <c r="E573" s="60" t="n">
        <f aca="false">E571*Assumptions!$E$71</f>
        <v>0</v>
      </c>
      <c r="F573" s="60" t="n">
        <f aca="false">F571*Assumptions!$E$71</f>
        <v>0</v>
      </c>
      <c r="G573" s="60" t="n">
        <f aca="false">G571*Assumptions!$E$71</f>
        <v>0</v>
      </c>
      <c r="H573" s="60" t="n">
        <f aca="false">H571*Assumptions!$E$71</f>
        <v>0</v>
      </c>
      <c r="I573" s="60" t="n">
        <f aca="false">I571*Assumptions!$E$71</f>
        <v>0</v>
      </c>
      <c r="J573" s="60" t="n">
        <f aca="false">J571*Assumptions!$E$71</f>
        <v>0</v>
      </c>
      <c r="K573" s="60" t="n">
        <f aca="false">K571*Assumptions!$E$71</f>
        <v>0</v>
      </c>
      <c r="L573" s="60" t="n">
        <f aca="false">L571*Assumptions!$E$71</f>
        <v>0</v>
      </c>
      <c r="M573" s="60" t="n">
        <f aca="false">M571*Assumptions!$E$71</f>
        <v>0</v>
      </c>
      <c r="N573" s="60" t="n">
        <f aca="false">N571*Assumptions!$E$71</f>
        <v>0</v>
      </c>
      <c r="O573" s="60" t="n">
        <f aca="false">O571*Assumptions!$E$71</f>
        <v>0</v>
      </c>
      <c r="P573" s="60" t="n">
        <f aca="false">P571*Assumptions!$E$71</f>
        <v>2790.6976744186</v>
      </c>
      <c r="Q573" s="60" t="n">
        <f aca="false">Q571*Assumptions!$E$71</f>
        <v>2790.6976744186</v>
      </c>
      <c r="R573" s="60" t="n">
        <f aca="false">R571*Assumptions!$E$71</f>
        <v>2790.6976744186</v>
      </c>
      <c r="S573" s="60" t="n">
        <f aca="false">S571*Assumptions!$E$71</f>
        <v>2790.6976744186</v>
      </c>
      <c r="T573" s="60" t="n">
        <f aca="false">T571*Assumptions!$E$71</f>
        <v>2790.6976744186</v>
      </c>
      <c r="U573" s="60" t="n">
        <f aca="false">U571*Assumptions!$E$71</f>
        <v>2790.6976744186</v>
      </c>
      <c r="V573" s="60" t="n">
        <f aca="false">V571*Assumptions!$E$71</f>
        <v>2790.6976744186</v>
      </c>
      <c r="W573" s="60" t="n">
        <f aca="false">W571*Assumptions!$E$71</f>
        <v>2790.6976744186</v>
      </c>
      <c r="X573" s="60" t="n">
        <f aca="false">X571*Assumptions!$E$71</f>
        <v>2790.6976744186</v>
      </c>
      <c r="Y573" s="60" t="n">
        <f aca="false">Y571*Assumptions!$E$71</f>
        <v>2790.6976744186</v>
      </c>
      <c r="Z573" s="60" t="n">
        <f aca="false">Z571*Assumptions!$E$71</f>
        <v>2790.6976744186</v>
      </c>
      <c r="AA573" s="60" t="n">
        <f aca="false">AA571*Assumptions!$E$71</f>
        <v>2790.6976744186</v>
      </c>
      <c r="AB573" s="38" t="n">
        <f aca="false">SUM(D573:O573)</f>
        <v>0</v>
      </c>
      <c r="AC573" s="38" t="n">
        <f aca="false">SUM(P573:AA573)</f>
        <v>33488.3720930233</v>
      </c>
    </row>
    <row r="574" customFormat="false" ht="15" hidden="false" customHeight="false" outlineLevel="0" collapsed="false">
      <c r="A574" s="3" t="s">
        <v>490</v>
      </c>
      <c r="B574" s="3" t="s">
        <v>62</v>
      </c>
      <c r="D574" s="60" t="n">
        <f aca="false">D570*Assumptions!$E$72</f>
        <v>0</v>
      </c>
      <c r="E574" s="60" t="n">
        <f aca="false">E570*Assumptions!$E$72</f>
        <v>0</v>
      </c>
      <c r="F574" s="60" t="n">
        <f aca="false">F570*Assumptions!$E$72</f>
        <v>0</v>
      </c>
      <c r="G574" s="60" t="n">
        <f aca="false">G570*Assumptions!$E$72</f>
        <v>0</v>
      </c>
      <c r="H574" s="60" t="n">
        <f aca="false">H570*Assumptions!$E$72</f>
        <v>0</v>
      </c>
      <c r="I574" s="60" t="n">
        <f aca="false">I570*Assumptions!$E$72</f>
        <v>0</v>
      </c>
      <c r="J574" s="60" t="n">
        <f aca="false">J570*Assumptions!$E$72</f>
        <v>0</v>
      </c>
      <c r="K574" s="60" t="n">
        <f aca="false">K570*Assumptions!$E$72</f>
        <v>0</v>
      </c>
      <c r="L574" s="60" t="n">
        <f aca="false">L570*Assumptions!$E$72</f>
        <v>0</v>
      </c>
      <c r="M574" s="60" t="n">
        <f aca="false">M570*Assumptions!$E$72</f>
        <v>0</v>
      </c>
      <c r="N574" s="60" t="n">
        <f aca="false">N570*Assumptions!$E$72</f>
        <v>0</v>
      </c>
      <c r="O574" s="60" t="n">
        <f aca="false">O570*Assumptions!$E$72</f>
        <v>0</v>
      </c>
      <c r="P574" s="60" t="n">
        <f aca="false">P570*Assumptions!$E$72</f>
        <v>900</v>
      </c>
      <c r="Q574" s="60" t="n">
        <f aca="false">Q570*Assumptions!$E$72</f>
        <v>900</v>
      </c>
      <c r="R574" s="60" t="n">
        <f aca="false">R570*Assumptions!$E$72</f>
        <v>900</v>
      </c>
      <c r="S574" s="60" t="n">
        <f aca="false">S570*Assumptions!$E$72</f>
        <v>900</v>
      </c>
      <c r="T574" s="60" t="n">
        <f aca="false">T570*Assumptions!$E$72</f>
        <v>900</v>
      </c>
      <c r="U574" s="60" t="n">
        <f aca="false">U570*Assumptions!$E$72</f>
        <v>900</v>
      </c>
      <c r="V574" s="60" t="n">
        <f aca="false">V570*Assumptions!$E$72</f>
        <v>900</v>
      </c>
      <c r="W574" s="60" t="n">
        <f aca="false">W570*Assumptions!$E$72</f>
        <v>900</v>
      </c>
      <c r="X574" s="60" t="n">
        <f aca="false">X570*Assumptions!$E$72</f>
        <v>900</v>
      </c>
      <c r="Y574" s="60" t="n">
        <f aca="false">Y570*Assumptions!$E$72</f>
        <v>900</v>
      </c>
      <c r="Z574" s="60" t="n">
        <f aca="false">Z570*Assumptions!$E$72</f>
        <v>900</v>
      </c>
      <c r="AA574" s="60" t="n">
        <f aca="false">AA570*Assumptions!$E$72</f>
        <v>900</v>
      </c>
      <c r="AB574" s="38" t="n">
        <f aca="false">SUM(D574:O574)</f>
        <v>0</v>
      </c>
      <c r="AC574" s="38" t="n">
        <f aca="false">SUM(P574:AA574)</f>
        <v>10800</v>
      </c>
    </row>
    <row r="575" customFormat="false" ht="15" hidden="false" customHeight="false" outlineLevel="0" collapsed="false">
      <c r="A575" s="3" t="s">
        <v>491</v>
      </c>
      <c r="B575" s="3" t="s">
        <v>62</v>
      </c>
      <c r="D575" s="60" t="n">
        <f aca="false">D570*Assumptions!$E$73</f>
        <v>0</v>
      </c>
      <c r="E575" s="60" t="n">
        <f aca="false">E570*Assumptions!$E$73</f>
        <v>0</v>
      </c>
      <c r="F575" s="60" t="n">
        <f aca="false">F570*Assumptions!$E$73</f>
        <v>0</v>
      </c>
      <c r="G575" s="60" t="n">
        <f aca="false">G570*Assumptions!$E$73</f>
        <v>0</v>
      </c>
      <c r="H575" s="60" t="n">
        <f aca="false">H570*Assumptions!$E$73</f>
        <v>0</v>
      </c>
      <c r="I575" s="60" t="n">
        <f aca="false">I570*Assumptions!$E$73</f>
        <v>0</v>
      </c>
      <c r="J575" s="60" t="n">
        <f aca="false">J570*Assumptions!$E$73</f>
        <v>0</v>
      </c>
      <c r="K575" s="60" t="n">
        <f aca="false">K570*Assumptions!$E$73</f>
        <v>0</v>
      </c>
      <c r="L575" s="60" t="n">
        <f aca="false">L570*Assumptions!$E$73</f>
        <v>0</v>
      </c>
      <c r="M575" s="60" t="n">
        <f aca="false">M570*Assumptions!$E$73</f>
        <v>0</v>
      </c>
      <c r="N575" s="60" t="n">
        <f aca="false">N570*Assumptions!$E$73</f>
        <v>0</v>
      </c>
      <c r="O575" s="60" t="n">
        <f aca="false">O570*Assumptions!$E$73</f>
        <v>0</v>
      </c>
      <c r="P575" s="60" t="n">
        <f aca="false">P570*Assumptions!$E$73</f>
        <v>540</v>
      </c>
      <c r="Q575" s="60" t="n">
        <f aca="false">Q570*Assumptions!$E$73</f>
        <v>540</v>
      </c>
      <c r="R575" s="60" t="n">
        <f aca="false">R570*Assumptions!$E$73</f>
        <v>540</v>
      </c>
      <c r="S575" s="60" t="n">
        <f aca="false">S570*Assumptions!$E$73</f>
        <v>540</v>
      </c>
      <c r="T575" s="60" t="n">
        <f aca="false">T570*Assumptions!$E$73</f>
        <v>540</v>
      </c>
      <c r="U575" s="60" t="n">
        <f aca="false">U570*Assumptions!$E$73</f>
        <v>540</v>
      </c>
      <c r="V575" s="60" t="n">
        <f aca="false">V570*Assumptions!$E$73</f>
        <v>540</v>
      </c>
      <c r="W575" s="60" t="n">
        <f aca="false">W570*Assumptions!$E$73</f>
        <v>540</v>
      </c>
      <c r="X575" s="60" t="n">
        <f aca="false">X570*Assumptions!$E$73</f>
        <v>540</v>
      </c>
      <c r="Y575" s="60" t="n">
        <f aca="false">Y570*Assumptions!$E$73</f>
        <v>540</v>
      </c>
      <c r="Z575" s="60" t="n">
        <f aca="false">Z570*Assumptions!$E$73</f>
        <v>540</v>
      </c>
      <c r="AA575" s="60" t="n">
        <f aca="false">AA570*Assumptions!$E$73</f>
        <v>540</v>
      </c>
      <c r="AB575" s="38" t="n">
        <f aca="false">SUM(D575:O575)</f>
        <v>0</v>
      </c>
      <c r="AC575" s="38" t="n">
        <f aca="false">SUM(P575:AA575)</f>
        <v>6480</v>
      </c>
    </row>
    <row r="576" customFormat="false" ht="15" hidden="false" customHeight="false" outlineLevel="0" collapsed="false">
      <c r="A576" s="3" t="s">
        <v>492</v>
      </c>
      <c r="B576" s="3" t="s">
        <v>62</v>
      </c>
      <c r="D576" s="60" t="n">
        <f aca="false">D570*Assumptions!$E$74</f>
        <v>0</v>
      </c>
      <c r="E576" s="60" t="n">
        <f aca="false">E570*Assumptions!$E$74</f>
        <v>0</v>
      </c>
      <c r="F576" s="60" t="n">
        <f aca="false">F570*Assumptions!$E$74</f>
        <v>0</v>
      </c>
      <c r="G576" s="60" t="n">
        <f aca="false">G570*Assumptions!$E$74</f>
        <v>0</v>
      </c>
      <c r="H576" s="60" t="n">
        <f aca="false">H570*Assumptions!$E$74</f>
        <v>0</v>
      </c>
      <c r="I576" s="60" t="n">
        <f aca="false">I570*Assumptions!$E$74</f>
        <v>0</v>
      </c>
      <c r="J576" s="60" t="n">
        <f aca="false">J570*Assumptions!$E$74</f>
        <v>0</v>
      </c>
      <c r="K576" s="60" t="n">
        <f aca="false">K570*Assumptions!$E$74</f>
        <v>0</v>
      </c>
      <c r="L576" s="60" t="n">
        <f aca="false">L570*Assumptions!$E$74</f>
        <v>0</v>
      </c>
      <c r="M576" s="60" t="n">
        <f aca="false">M570*Assumptions!$E$74</f>
        <v>0</v>
      </c>
      <c r="N576" s="60" t="n">
        <f aca="false">N570*Assumptions!$E$74</f>
        <v>0</v>
      </c>
      <c r="O576" s="60" t="n">
        <f aca="false">O570*Assumptions!$E$74</f>
        <v>0</v>
      </c>
      <c r="P576" s="60" t="n">
        <f aca="false">P570*Assumptions!$E$74</f>
        <v>360</v>
      </c>
      <c r="Q576" s="60" t="n">
        <f aca="false">Q570*Assumptions!$E$74</f>
        <v>360</v>
      </c>
      <c r="R576" s="60" t="n">
        <f aca="false">R570*Assumptions!$E$74</f>
        <v>360</v>
      </c>
      <c r="S576" s="60" t="n">
        <f aca="false">S570*Assumptions!$E$74</f>
        <v>360</v>
      </c>
      <c r="T576" s="60" t="n">
        <f aca="false">T570*Assumptions!$E$74</f>
        <v>360</v>
      </c>
      <c r="U576" s="60" t="n">
        <f aca="false">U570*Assumptions!$E$74</f>
        <v>360</v>
      </c>
      <c r="V576" s="60" t="n">
        <f aca="false">V570*Assumptions!$E$74</f>
        <v>360</v>
      </c>
      <c r="W576" s="60" t="n">
        <f aca="false">W570*Assumptions!$E$74</f>
        <v>360</v>
      </c>
      <c r="X576" s="60" t="n">
        <f aca="false">X570*Assumptions!$E$74</f>
        <v>360</v>
      </c>
      <c r="Y576" s="60" t="n">
        <f aca="false">Y570*Assumptions!$E$74</f>
        <v>360</v>
      </c>
      <c r="Z576" s="60" t="n">
        <f aca="false">Z570*Assumptions!$E$74</f>
        <v>360</v>
      </c>
      <c r="AA576" s="60" t="n">
        <f aca="false">AA570*Assumptions!$E$74</f>
        <v>360</v>
      </c>
      <c r="AB576" s="38" t="n">
        <f aca="false">SUM(D576:O576)</f>
        <v>0</v>
      </c>
      <c r="AC576" s="38" t="n">
        <f aca="false">SUM(P576:AA576)</f>
        <v>4320</v>
      </c>
    </row>
    <row r="577" customFormat="false" ht="15" hidden="false" customHeight="false" outlineLevel="0" collapsed="false">
      <c r="A577" s="9" t="s">
        <v>493</v>
      </c>
      <c r="B577" s="3" t="s">
        <v>62</v>
      </c>
      <c r="D577" s="29" t="n">
        <f aca="false">D570-D572-D573-D574-D575-D576</f>
        <v>0</v>
      </c>
      <c r="E577" s="29" t="n">
        <f aca="false">E570-E572-E573-E574-E575-E576</f>
        <v>0</v>
      </c>
      <c r="F577" s="29" t="n">
        <f aca="false">F570-F572-F573-F574-F575-F576</f>
        <v>0</v>
      </c>
      <c r="G577" s="29" t="n">
        <f aca="false">G570-G572-G573-G574-G575-G576</f>
        <v>0</v>
      </c>
      <c r="H577" s="29" t="n">
        <f aca="false">H570-H572-H573-H574-H575-H576</f>
        <v>0</v>
      </c>
      <c r="I577" s="29" t="n">
        <f aca="false">I570-I572-I573-I574-I575-I576</f>
        <v>0</v>
      </c>
      <c r="J577" s="29" t="n">
        <f aca="false">J570-J572-J573-J574-J575-J576</f>
        <v>0</v>
      </c>
      <c r="K577" s="29" t="n">
        <f aca="false">K570-K572-K573-K574-K575-K576</f>
        <v>0</v>
      </c>
      <c r="L577" s="29" t="n">
        <f aca="false">L570-L572-L573-L574-L575-L576</f>
        <v>0</v>
      </c>
      <c r="M577" s="29" t="n">
        <f aca="false">M570-M572-M573-M574-M575-M576</f>
        <v>0</v>
      </c>
      <c r="N577" s="29" t="n">
        <f aca="false">N570-N572-N573-N574-N575-N576</f>
        <v>0</v>
      </c>
      <c r="O577" s="29" t="n">
        <f aca="false">O570-O572-O573-O574-O575-O576</f>
        <v>0</v>
      </c>
      <c r="P577" s="29" t="n">
        <f aca="false">P570-P572-P573-P574-P575-P576</f>
        <v>3809.3023255814</v>
      </c>
      <c r="Q577" s="29" t="n">
        <f aca="false">Q570-Q572-Q573-Q574-Q575-Q576</f>
        <v>3809.3023255814</v>
      </c>
      <c r="R577" s="29" t="n">
        <f aca="false">R570-R572-R573-R574-R575-R576</f>
        <v>3809.3023255814</v>
      </c>
      <c r="S577" s="29" t="n">
        <f aca="false">S570-S572-S573-S574-S575-S576</f>
        <v>3809.3023255814</v>
      </c>
      <c r="T577" s="29" t="n">
        <f aca="false">T570-T572-T573-T574-T575-T576</f>
        <v>3809.3023255814</v>
      </c>
      <c r="U577" s="29" t="n">
        <f aca="false">U570-U572-U573-U574-U575-U576</f>
        <v>3809.3023255814</v>
      </c>
      <c r="V577" s="29" t="n">
        <f aca="false">V570-V572-V573-V574-V575-V576</f>
        <v>4109.3023255814</v>
      </c>
      <c r="W577" s="29" t="n">
        <f aca="false">W570-W572-W573-W574-W575-W576</f>
        <v>4109.3023255814</v>
      </c>
      <c r="X577" s="29" t="n">
        <f aca="false">X570-X572-X573-X574-X575-X576</f>
        <v>4109.3023255814</v>
      </c>
      <c r="Y577" s="29" t="n">
        <f aca="false">Y570-Y572-Y573-Y574-Y575-Y576</f>
        <v>4109.3023255814</v>
      </c>
      <c r="Z577" s="29" t="n">
        <f aca="false">Z570-Z572-Z573-Z574-Z575-Z576</f>
        <v>4109.3023255814</v>
      </c>
      <c r="AA577" s="29" t="n">
        <f aca="false">AA570-AA572-AA573-AA574-AA575-AA576</f>
        <v>4109.3023255814</v>
      </c>
      <c r="AB577" s="29" t="n">
        <f aca="false">SUM(D577:O577)</f>
        <v>0</v>
      </c>
      <c r="AC577" s="29" t="n">
        <f aca="false">SUM(P577:AA577)</f>
        <v>47511.6279069767</v>
      </c>
    </row>
    <row r="579" customFormat="false" ht="15" hidden="false" customHeight="false" outlineLevel="0" collapsed="false">
      <c r="A579" s="9" t="s">
        <v>494</v>
      </c>
    </row>
    <row r="580" customFormat="false" ht="15" hidden="false" customHeight="false" outlineLevel="0" collapsed="false">
      <c r="A580" s="9" t="s">
        <v>495</v>
      </c>
      <c r="B580" s="3" t="s">
        <v>62</v>
      </c>
      <c r="D580" s="29" t="n">
        <f aca="false">D535+D562+D570</f>
        <v>10019</v>
      </c>
      <c r="E580" s="29" t="n">
        <f aca="false">E535+E562+E570</f>
        <v>15996</v>
      </c>
      <c r="F580" s="29" t="n">
        <f aca="false">F535+F562+F570</f>
        <v>23994</v>
      </c>
      <c r="G580" s="29" t="n">
        <f aca="false">G535+G562+G570</f>
        <v>33325</v>
      </c>
      <c r="H580" s="29" t="n">
        <f aca="false">H535+H562+H570</f>
        <v>43344</v>
      </c>
      <c r="I580" s="29" t="n">
        <f aca="false">I535+I562+I570</f>
        <v>54653</v>
      </c>
      <c r="J580" s="29" t="n">
        <f aca="false">J535+J562+J570</f>
        <v>66650</v>
      </c>
      <c r="K580" s="29" t="n">
        <f aca="false">K535+K562+K570</f>
        <v>79980</v>
      </c>
      <c r="L580" s="29" t="n">
        <f aca="false">L535+L562+L570</f>
        <v>93310</v>
      </c>
      <c r="M580" s="29" t="n">
        <f aca="false">M535+M562+M570</f>
        <v>106640</v>
      </c>
      <c r="N580" s="29" t="n">
        <f aca="false">N535+N562+N570</f>
        <v>119970</v>
      </c>
      <c r="O580" s="29" t="n">
        <f aca="false">O535+O562+O570</f>
        <v>136654</v>
      </c>
      <c r="P580" s="29" t="n">
        <f aca="false">P535+P562+P570</f>
        <v>179982.72</v>
      </c>
      <c r="Q580" s="29" t="n">
        <f aca="false">Q535+Q562+Q570</f>
        <v>194379.12</v>
      </c>
      <c r="R580" s="29" t="n">
        <f aca="false">R535+R562+R570</f>
        <v>205153.2</v>
      </c>
      <c r="S580" s="29" t="n">
        <f aca="false">S535+S562+S570</f>
        <v>215973.72</v>
      </c>
      <c r="T580" s="29" t="n">
        <f aca="false">T535+T562+T570</f>
        <v>226747.8</v>
      </c>
      <c r="U580" s="29" t="n">
        <f aca="false">U535+U562+U570</f>
        <v>237568.32</v>
      </c>
      <c r="V580" s="29" t="n">
        <f aca="false">V535+V562+V570</f>
        <v>244998.72</v>
      </c>
      <c r="W580" s="29" t="n">
        <f aca="false">W535+W562+W570</f>
        <v>252429.12</v>
      </c>
      <c r="X580" s="29" t="n">
        <f aca="false">X535+X562+X570</f>
        <v>259859.52</v>
      </c>
      <c r="Y580" s="29" t="n">
        <f aca="false">Y535+Y562+Y570</f>
        <v>267289.92</v>
      </c>
      <c r="Z580" s="29" t="n">
        <f aca="false">Z535+Z562+Z570</f>
        <v>274720.32</v>
      </c>
      <c r="AA580" s="29" t="n">
        <f aca="false">AA535+AA562+AA570</f>
        <v>282150.72</v>
      </c>
      <c r="AB580" s="29" t="n">
        <f aca="false">SUM(D580:O580)</f>
        <v>784535</v>
      </c>
      <c r="AC580" s="29" t="n">
        <f aca="false">SUM(P580:AA580)</f>
        <v>2841253.2</v>
      </c>
    </row>
    <row r="581" customFormat="false" ht="15" hidden="false" customHeight="false" outlineLevel="0" collapsed="false">
      <c r="A581" s="9" t="s">
        <v>496</v>
      </c>
      <c r="B581" s="3" t="s">
        <v>62</v>
      </c>
      <c r="D581" s="29" t="n">
        <f aca="false">D547+D569+D577</f>
        <v>-9417.215</v>
      </c>
      <c r="E581" s="29" t="n">
        <f aca="false">E547+E569+E577</f>
        <v>663.109999999999</v>
      </c>
      <c r="F581" s="29" t="n">
        <f aca="false">F547+F569+F577</f>
        <v>1439.66</v>
      </c>
      <c r="G581" s="29" t="n">
        <f aca="false">G547+G569+G577</f>
        <v>5011.635</v>
      </c>
      <c r="H581" s="29" t="n">
        <f aca="false">H547+H569+H577</f>
        <v>6785.93</v>
      </c>
      <c r="I581" s="29" t="n">
        <f aca="false">I547+I569+I577</f>
        <v>8788.675</v>
      </c>
      <c r="J581" s="29" t="n">
        <f aca="false">J547+J569+J577</f>
        <v>15578.76</v>
      </c>
      <c r="K581" s="29" t="n">
        <f aca="false">K547+K569+K577</f>
        <v>18872.51</v>
      </c>
      <c r="L581" s="29" t="n">
        <f aca="false">L547+L569+L577</f>
        <v>22166.26</v>
      </c>
      <c r="M581" s="29" t="n">
        <f aca="false">M547+M569+M577</f>
        <v>25460.01</v>
      </c>
      <c r="N581" s="29" t="n">
        <f aca="false">N547+N569+N577</f>
        <v>28753.76</v>
      </c>
      <c r="O581" s="29" t="n">
        <f aca="false">O547+O569+O577</f>
        <v>32876.26</v>
      </c>
      <c r="P581" s="29" t="n">
        <f aca="false">P547+P569+P577</f>
        <v>48304.4707255814</v>
      </c>
      <c r="Q581" s="29" t="n">
        <f aca="false">Q547+Q569+Q577</f>
        <v>52338.1287255814</v>
      </c>
      <c r="R581" s="29" t="n">
        <f aca="false">R547+R569+R577</f>
        <v>55356.8663255814</v>
      </c>
      <c r="S581" s="29" t="n">
        <f aca="false">S547+S569+S577</f>
        <v>58388.6157255814</v>
      </c>
      <c r="T581" s="29" t="n">
        <f aca="false">T547+T569+T577</f>
        <v>61407.3533255814</v>
      </c>
      <c r="U581" s="29" t="n">
        <f aca="false">U547+U569+U577</f>
        <v>64439.1027255814</v>
      </c>
      <c r="V581" s="29" t="n">
        <f aca="false">V547+V569+V577</f>
        <v>64655.9512589147</v>
      </c>
      <c r="W581" s="29" t="n">
        <f aca="false">W547+W569+W577</f>
        <v>66716.9432589147</v>
      </c>
      <c r="X581" s="29" t="n">
        <f aca="false">X547+X569+X577</f>
        <v>68777.9352589147</v>
      </c>
      <c r="Y581" s="29" t="n">
        <f aca="false">Y547+Y569+Y577</f>
        <v>70838.9272589147</v>
      </c>
      <c r="Z581" s="29" t="n">
        <f aca="false">Z547+Z569+Z577</f>
        <v>72899.9192589147</v>
      </c>
      <c r="AA581" s="29" t="n">
        <f aca="false">AA547+AA569+AA577</f>
        <v>74960.9112589147</v>
      </c>
      <c r="AB581" s="29" t="n">
        <f aca="false">SUM(D581:O581)</f>
        <v>156979.355</v>
      </c>
      <c r="AC581" s="29" t="n">
        <f aca="false">SUM(P581:AA581)</f>
        <v>759085.125106977</v>
      </c>
    </row>
    <row r="582" customFormat="false" ht="15" hidden="false" customHeight="false" outlineLevel="0" collapsed="false">
      <c r="A582" s="3" t="s">
        <v>497</v>
      </c>
      <c r="B582" s="3" t="s">
        <v>62</v>
      </c>
      <c r="D582" s="38" t="n">
        <f aca="false">D581</f>
        <v>-9417.215</v>
      </c>
      <c r="E582" s="38" t="n">
        <f aca="false">D582+E581</f>
        <v>-8754.105</v>
      </c>
      <c r="F582" s="38" t="n">
        <f aca="false">E582+F581</f>
        <v>-7314.445</v>
      </c>
      <c r="G582" s="38" t="n">
        <f aca="false">F582+G581</f>
        <v>-2302.81</v>
      </c>
      <c r="H582" s="38" t="n">
        <f aca="false">G582+H581</f>
        <v>4483.12</v>
      </c>
      <c r="I582" s="38" t="n">
        <f aca="false">H582+I581</f>
        <v>13271.795</v>
      </c>
      <c r="J582" s="38" t="n">
        <f aca="false">I582+J581</f>
        <v>28850.555</v>
      </c>
      <c r="K582" s="38" t="n">
        <f aca="false">J582+K581</f>
        <v>47723.065</v>
      </c>
      <c r="L582" s="38" t="n">
        <f aca="false">K582+L581</f>
        <v>69889.325</v>
      </c>
      <c r="M582" s="38" t="n">
        <f aca="false">L582+M581</f>
        <v>95349.335</v>
      </c>
      <c r="N582" s="38" t="n">
        <f aca="false">M582+N581</f>
        <v>124103.095</v>
      </c>
      <c r="O582" s="38" t="n">
        <f aca="false">N582+O581</f>
        <v>156979.355</v>
      </c>
      <c r="P582" s="38" t="n">
        <f aca="false">O582+P581</f>
        <v>205283.825725581</v>
      </c>
      <c r="Q582" s="38" t="n">
        <f aca="false">P582+Q581</f>
        <v>257621.954451163</v>
      </c>
      <c r="R582" s="38" t="n">
        <f aca="false">Q582+R581</f>
        <v>312978.820776744</v>
      </c>
      <c r="S582" s="38" t="n">
        <f aca="false">R582+S581</f>
        <v>371367.436502326</v>
      </c>
      <c r="T582" s="38" t="n">
        <f aca="false">S582+T581</f>
        <v>432774.789827907</v>
      </c>
      <c r="U582" s="38" t="n">
        <f aca="false">T582+U581</f>
        <v>497213.892553488</v>
      </c>
      <c r="V582" s="38" t="n">
        <f aca="false">U582+V581</f>
        <v>561869.843812403</v>
      </c>
      <c r="W582" s="38" t="n">
        <f aca="false">V582+W581</f>
        <v>628586.787071318</v>
      </c>
      <c r="X582" s="38" t="n">
        <f aca="false">W582+X581</f>
        <v>697364.722330233</v>
      </c>
      <c r="Y582" s="38" t="n">
        <f aca="false">X582+Y581</f>
        <v>768203.649589147</v>
      </c>
      <c r="Z582" s="38" t="n">
        <f aca="false">Y582+Z581</f>
        <v>841103.568848062</v>
      </c>
      <c r="AA582" s="38" t="n">
        <f aca="false">Z582+AA581</f>
        <v>916064.480106977</v>
      </c>
      <c r="AB582" s="38" t="n">
        <f aca="false">O582</f>
        <v>156979.355</v>
      </c>
      <c r="AC582" s="38" t="n">
        <f aca="false">AA582</f>
        <v>916064.480106977</v>
      </c>
    </row>
    <row r="583" customFormat="false" ht="15" hidden="false" customHeight="false" outlineLevel="0" collapsed="false">
      <c r="A583" s="3" t="s">
        <v>498</v>
      </c>
      <c r="B583" s="3" t="s">
        <v>66</v>
      </c>
      <c r="D583" s="34" t="n">
        <f aca="false">IF(D580=0,0,D581/D580)</f>
        <v>-0.939935622317597</v>
      </c>
      <c r="E583" s="34" t="n">
        <f aca="false">IF(E580=0,0,E581/E580)</f>
        <v>0.0414547386846711</v>
      </c>
      <c r="F583" s="34" t="n">
        <f aca="false">IF(F580=0,0,F581/F580)</f>
        <v>0.0600008335417188</v>
      </c>
      <c r="G583" s="34" t="n">
        <f aca="false">IF(G580=0,0,G581/G580)</f>
        <v>0.150386646661665</v>
      </c>
      <c r="H583" s="34" t="n">
        <f aca="false">IF(H580=0,0,H581/H580)</f>
        <v>0.15655984680694</v>
      </c>
      <c r="I583" s="34" t="n">
        <f aca="false">IF(I580=0,0,I581/I580)</f>
        <v>0.160808647283772</v>
      </c>
      <c r="J583" s="34" t="n">
        <f aca="false">IF(J580=0,0,J581/J580)</f>
        <v>0.23373983495874</v>
      </c>
      <c r="K583" s="34" t="n">
        <f aca="false">IF(K580=0,0,K581/K580)</f>
        <v>0.235965366341585</v>
      </c>
      <c r="L583" s="34" t="n">
        <f aca="false">IF(L580=0,0,L581/L580)</f>
        <v>0.237555031615047</v>
      </c>
      <c r="M583" s="34" t="n">
        <f aca="false">IF(M580=0,0,M581/M580)</f>
        <v>0.238747280570142</v>
      </c>
      <c r="N583" s="34" t="n">
        <f aca="false">IF(N580=0,0,N581/N580)</f>
        <v>0.239674585312995</v>
      </c>
      <c r="O583" s="34" t="n">
        <f aca="false">IF(O580=0,0,O581/O580)</f>
        <v>0.240580297686127</v>
      </c>
      <c r="P583" s="34" t="n">
        <f aca="false">IF(P580=0,0,P581/P580)</f>
        <v>0.268383935555488</v>
      </c>
      <c r="Q583" s="34" t="n">
        <f aca="false">IF(Q580=0,0,Q581/Q580)</f>
        <v>0.269257977531647</v>
      </c>
      <c r="R583" s="34" t="n">
        <f aca="false">IF(R580=0,0,R581/R580)</f>
        <v>0.269831844326978</v>
      </c>
      <c r="S583" s="34" t="n">
        <f aca="false">IF(S580=0,0,S581/S580)</f>
        <v>0.270350558047439</v>
      </c>
      <c r="T583" s="34" t="n">
        <f aca="false">IF(T580=0,0,T581/T580)</f>
        <v>0.270817857221024</v>
      </c>
      <c r="U583" s="34" t="n">
        <f aca="false">IF(U580=0,0,U581/U580)</f>
        <v>0.271244510739401</v>
      </c>
      <c r="V583" s="34" t="n">
        <f aca="false">IF(V580=0,0,V581/V580)</f>
        <v>0.263903220632805</v>
      </c>
      <c r="W583" s="34" t="n">
        <f aca="false">IF(W580=0,0,W581/W580)</f>
        <v>0.264299710187615</v>
      </c>
      <c r="X583" s="34" t="n">
        <f aca="false">IF(X580=0,0,X581/X580)</f>
        <v>0.264673525368302</v>
      </c>
      <c r="Y583" s="34" t="n">
        <f aca="false">IF(Y580=0,0,Y581/Y580)</f>
        <v>0.265026557151556</v>
      </c>
      <c r="Z583" s="34" t="n">
        <f aca="false">IF(Z580=0,0,Z581/Z580)</f>
        <v>0.265360491931994</v>
      </c>
      <c r="AA583" s="34" t="n">
        <f aca="false">IF(AA580=0,0,AA581/AA580)</f>
        <v>0.265676838460362</v>
      </c>
      <c r="AB583" s="34" t="n">
        <f aca="false">IF(AB580=0,0,AB581/AB580)</f>
        <v>0.200092226605569</v>
      </c>
      <c r="AC583" s="34" t="n">
        <f aca="false">IF(AC580=0,0,AC581/AC580)</f>
        <v>0.267165603229933</v>
      </c>
    </row>
    <row r="585" customFormat="false" ht="15" hidden="false" customHeight="false" outlineLevel="0" collapsed="false">
      <c r="A585" s="5" t="s">
        <v>499</v>
      </c>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customFormat="false" ht="15" hidden="false" customHeight="false" outlineLevel="0" collapsed="false">
      <c r="A586" s="3" t="s">
        <v>500</v>
      </c>
      <c r="C586" s="63" t="n">
        <f aca="false">SUM(D535:U535)</f>
        <v>1851021</v>
      </c>
    </row>
    <row r="587" customFormat="false" ht="15" hidden="false" customHeight="false" outlineLevel="0" collapsed="false">
      <c r="A587" s="3" t="s">
        <v>501</v>
      </c>
      <c r="C587" s="63" t="n">
        <f aca="false">SUM(D547:U547)</f>
        <v>447155.245</v>
      </c>
    </row>
    <row r="588" customFormat="false" ht="15" hidden="false" customHeight="false" outlineLevel="0" collapsed="false">
      <c r="A588" s="3" t="s">
        <v>502</v>
      </c>
      <c r="C588" s="56" t="n">
        <f aca="false">IF(C586=0,0,C587/C586)</f>
        <v>0.241572216090471</v>
      </c>
    </row>
    <row r="589" customFormat="false" ht="15" hidden="false" customHeight="false" outlineLevel="0" collapsed="false">
      <c r="A589" s="3" t="s">
        <v>503</v>
      </c>
      <c r="C589" s="64" t="n">
        <f aca="false">IFERROR(MATCH(1,D553:U553,0),"none")</f>
        <v>5</v>
      </c>
    </row>
    <row r="590" customFormat="false" ht="15" hidden="false" customHeight="false" outlineLevel="0" collapsed="false">
      <c r="A590" s="3" t="s">
        <v>504</v>
      </c>
      <c r="C590" s="63" t="n">
        <f aca="false">U535*12</f>
        <v>2439648</v>
      </c>
    </row>
    <row r="591" customFormat="false" ht="15" hidden="false" customHeight="false" outlineLevel="0" collapsed="false">
      <c r="A591" s="3" t="s">
        <v>505</v>
      </c>
      <c r="C591" s="56" t="n">
        <f aca="false">U549</f>
        <v>0.272715391728643</v>
      </c>
    </row>
    <row r="592" customFormat="false" ht="15" hidden="false" customHeight="false" outlineLevel="0" collapsed="false">
      <c r="A592" s="3" t="s">
        <v>506</v>
      </c>
      <c r="C592" s="65" t="n">
        <f aca="false">SUM(D533:U533)</f>
        <v>43047</v>
      </c>
    </row>
    <row r="593" customFormat="false" ht="15" hidden="false" customHeight="false" outlineLevel="0" collapsed="false">
      <c r="A593" s="3" t="s">
        <v>507</v>
      </c>
      <c r="C593" s="64" t="n">
        <f aca="false">IFERROR(MATCH(1,D553:AA553,0),"none")</f>
        <v>5</v>
      </c>
    </row>
    <row r="594" customFormat="false" ht="15" hidden="false" customHeight="false" outlineLevel="0" collapsed="false">
      <c r="A594" s="3" t="s">
        <v>508</v>
      </c>
      <c r="C594" s="63" t="n">
        <f aca="false">SUM(D580:AA580)</f>
        <v>3625788.2</v>
      </c>
    </row>
    <row r="595" customFormat="false" ht="15" hidden="false" customHeight="false" outlineLevel="0" collapsed="false">
      <c r="A595" s="3" t="s">
        <v>509</v>
      </c>
      <c r="C595" s="63" t="n">
        <f aca="false">SUM(D581:AA581)</f>
        <v>916064.480106977</v>
      </c>
    </row>
    <row r="597" customFormat="false" ht="15" hidden="false" customHeight="false" outlineLevel="0" collapsed="false">
      <c r="A597" s="5" t="s">
        <v>863</v>
      </c>
      <c r="B597" s="15"/>
      <c r="C597" s="15"/>
      <c r="D597" s="15"/>
      <c r="E597" s="15"/>
      <c r="F597" s="15"/>
      <c r="G597" s="15"/>
      <c r="H597" s="15"/>
    </row>
    <row r="598" customFormat="false" ht="15" hidden="false" customHeight="false" outlineLevel="0" collapsed="false">
      <c r="A598" s="14" t="s">
        <v>444</v>
      </c>
      <c r="B598" s="14" t="s">
        <v>53</v>
      </c>
      <c r="C598" s="14" t="s">
        <v>446</v>
      </c>
      <c r="D598" s="14" t="s">
        <v>447</v>
      </c>
      <c r="E598" s="14" t="s">
        <v>512</v>
      </c>
      <c r="F598" s="14" t="s">
        <v>513</v>
      </c>
      <c r="G598" s="14" t="s">
        <v>514</v>
      </c>
      <c r="H598" s="14" t="s">
        <v>58</v>
      </c>
    </row>
    <row r="599" customFormat="false" ht="15" hidden="false" customHeight="false" outlineLevel="0" collapsed="false">
      <c r="A599" s="9" t="s">
        <v>515</v>
      </c>
    </row>
    <row r="600" customFormat="false" ht="15" hidden="false" customHeight="false" outlineLevel="0" collapsed="false">
      <c r="A600" s="3" t="s">
        <v>516</v>
      </c>
      <c r="B600" s="3" t="s">
        <v>95</v>
      </c>
      <c r="C600" s="31" t="n">
        <f aca="false">AB533</f>
        <v>18245</v>
      </c>
      <c r="D600" s="31" t="n">
        <f aca="false">AC533</f>
        <v>56530</v>
      </c>
      <c r="E600" s="62" t="n">
        <f aca="false">D600*(1+Assumptions!$E$37)</f>
        <v>76315.5</v>
      </c>
      <c r="F600" s="62" t="n">
        <f aca="false">E600*(1+Assumptions!$E$38)</f>
        <v>95394.375</v>
      </c>
      <c r="G600" s="62" t="n">
        <f aca="false">F600*(1+Assumptions!$E$39)</f>
        <v>109703.53125</v>
      </c>
      <c r="H600" s="3" t="s">
        <v>517</v>
      </c>
    </row>
    <row r="601" customFormat="false" ht="15" hidden="false" customHeight="false" outlineLevel="0" collapsed="false">
      <c r="A601" s="3" t="s">
        <v>518</v>
      </c>
      <c r="B601" s="3" t="s">
        <v>454</v>
      </c>
      <c r="C601" s="40" t="n">
        <f aca="false">AB534</f>
        <v>43</v>
      </c>
      <c r="D601" s="40" t="n">
        <f aca="false">AC534</f>
        <v>43</v>
      </c>
      <c r="E601" s="35" t="n">
        <f aca="false">D601*(1+Assumptions!$E$40)*IF(3=3,1+Assumptions!$E$41,1)</f>
        <v>42.9613</v>
      </c>
      <c r="F601" s="35" t="n">
        <f aca="false">E601*(1+Assumptions!$E$40)*IF(4=3,1+Assumptions!$E$41,1)</f>
        <v>41.672461</v>
      </c>
      <c r="G601" s="35" t="n">
        <f aca="false">F601*(1+Assumptions!$E$40)*IF(5=3,1+Assumptions!$E$41,1)</f>
        <v>40.42228717</v>
      </c>
      <c r="H601" s="3"/>
    </row>
    <row r="602" customFormat="false" ht="15" hidden="false" customHeight="false" outlineLevel="0" collapsed="false">
      <c r="A602" s="3" t="s">
        <v>519</v>
      </c>
      <c r="B602" s="3" t="s">
        <v>66</v>
      </c>
      <c r="C602" s="34" t="n">
        <f aca="false">AB556</f>
        <v>0.32</v>
      </c>
      <c r="D602" s="34" t="n">
        <f aca="false">AC556</f>
        <v>0.314387404917743</v>
      </c>
      <c r="E602" s="54" t="n">
        <f aca="false">LandedPctHigh+Assumptions!$E$34</f>
        <v>0.305</v>
      </c>
      <c r="F602" s="54" t="n">
        <f aca="false">LandedPctHigh+Assumptions!$E$35</f>
        <v>0.31</v>
      </c>
      <c r="G602" s="54" t="n">
        <f aca="false">LandedPctHigh+Assumptions!$E$36</f>
        <v>0.32</v>
      </c>
      <c r="H602" s="3"/>
    </row>
    <row r="603" customFormat="false" ht="15" hidden="false" customHeight="false" outlineLevel="0" collapsed="false">
      <c r="A603" s="3" t="s">
        <v>520</v>
      </c>
      <c r="B603" s="3" t="s">
        <v>66</v>
      </c>
      <c r="C603" s="34" t="n">
        <f aca="false">AB559</f>
        <v>0.13127870649493</v>
      </c>
      <c r="D603" s="34" t="n">
        <f aca="false">AC559</f>
        <v>0.0884188926233858</v>
      </c>
      <c r="E603" s="54" t="n">
        <f aca="false">Assumptions!$E$42</f>
        <v>0.095</v>
      </c>
      <c r="F603" s="54" t="n">
        <f aca="false">Assumptions!$E$43</f>
        <v>0.095</v>
      </c>
      <c r="G603" s="54" t="n">
        <f aca="false">Assumptions!$E$44</f>
        <v>0.095</v>
      </c>
      <c r="H603" s="3"/>
    </row>
    <row r="604" customFormat="false" ht="15" hidden="false" customHeight="false" outlineLevel="0" collapsed="false">
      <c r="A604" s="3" t="s">
        <v>521</v>
      </c>
      <c r="B604" s="3" t="s">
        <v>66</v>
      </c>
      <c r="C604" s="34" t="n">
        <f aca="false">AB558</f>
        <v>0.025</v>
      </c>
      <c r="D604" s="34" t="n">
        <f aca="false">AC558</f>
        <v>0.0221937024588714</v>
      </c>
      <c r="E604" s="54" t="n">
        <f aca="false">Assumptions!$E$31</f>
        <v>0.02</v>
      </c>
      <c r="F604" s="54" t="n">
        <f aca="false">Assumptions!$E$31</f>
        <v>0.02</v>
      </c>
      <c r="G604" s="54" t="n">
        <f aca="false">Assumptions!$E$31</f>
        <v>0.02</v>
      </c>
      <c r="H604" s="3"/>
    </row>
    <row r="605" customFormat="false" ht="15" hidden="false" customHeight="false" outlineLevel="0" collapsed="false">
      <c r="A605" s="3" t="s">
        <v>522</v>
      </c>
      <c r="B605" s="3" t="s">
        <v>454</v>
      </c>
      <c r="C605" s="40" t="n">
        <f aca="false">AB557</f>
        <v>5.5</v>
      </c>
      <c r="D605" s="40" t="n">
        <f aca="false">AC557</f>
        <v>5.59260781885724</v>
      </c>
      <c r="E605" s="35" t="n">
        <f aca="false">Assumptions!$E$20*(1+Assumptions!$E$32)^(3-1)</f>
        <v>5.83495</v>
      </c>
      <c r="F605" s="35" t="n">
        <f aca="false">Assumptions!$E$20*(1+Assumptions!$E$32)^(4-1)</f>
        <v>6.0099985</v>
      </c>
      <c r="G605" s="35" t="n">
        <f aca="false">Assumptions!$E$20*(1+Assumptions!$E$32)^(5-1)</f>
        <v>6.190298455</v>
      </c>
      <c r="H605" s="3"/>
    </row>
    <row r="607" customFormat="false" ht="15" hidden="false" customHeight="false" outlineLevel="0" collapsed="false">
      <c r="A607" s="9" t="s">
        <v>523</v>
      </c>
    </row>
    <row r="608" customFormat="false" ht="15" hidden="false" customHeight="false" outlineLevel="0" collapsed="false">
      <c r="A608" s="3" t="s">
        <v>524</v>
      </c>
      <c r="B608" s="3" t="s">
        <v>95</v>
      </c>
      <c r="C608" s="31" t="n">
        <f aca="false">AB533</f>
        <v>18245</v>
      </c>
      <c r="D608" s="31" t="n">
        <f aca="false">AC533</f>
        <v>56530</v>
      </c>
      <c r="E608" s="31" t="n">
        <f aca="false">E600</f>
        <v>76315.5</v>
      </c>
      <c r="F608" s="31" t="n">
        <f aca="false">F600</f>
        <v>95394.375</v>
      </c>
      <c r="G608" s="31" t="n">
        <f aca="false">G600</f>
        <v>109703.53125</v>
      </c>
      <c r="H608" s="3"/>
    </row>
    <row r="609" customFormat="false" ht="15" hidden="false" customHeight="false" outlineLevel="0" collapsed="false">
      <c r="A609" s="9" t="s">
        <v>455</v>
      </c>
      <c r="B609" s="3" t="s">
        <v>62</v>
      </c>
      <c r="C609" s="29" t="n">
        <f aca="false">AB535</f>
        <v>784535</v>
      </c>
      <c r="D609" s="29" t="n">
        <f aca="false">AC535</f>
        <v>2430790</v>
      </c>
      <c r="E609" s="29" t="n">
        <f aca="false">E608*E601</f>
        <v>3278613.09015</v>
      </c>
      <c r="F609" s="29" t="n">
        <f aca="false">F608*F601</f>
        <v>3975318.37180688</v>
      </c>
      <c r="G609" s="29" t="n">
        <f aca="false">G608*G601</f>
        <v>4434467.64375057</v>
      </c>
      <c r="H609" s="3"/>
    </row>
    <row r="610" customFormat="false" ht="15" hidden="false" customHeight="false" outlineLevel="0" collapsed="false">
      <c r="A610" s="3" t="s">
        <v>456</v>
      </c>
      <c r="B610" s="3" t="s">
        <v>62</v>
      </c>
      <c r="C610" s="38" t="n">
        <f aca="false">AB536</f>
        <v>251051.2</v>
      </c>
      <c r="D610" s="38" t="n">
        <f aca="false">AC536</f>
        <v>764209.76</v>
      </c>
      <c r="E610" s="38" t="n">
        <f aca="false">E609*E602</f>
        <v>999976.99249575</v>
      </c>
      <c r="F610" s="38" t="n">
        <f aca="false">F609*F602</f>
        <v>1232348.69526013</v>
      </c>
      <c r="G610" s="38" t="n">
        <f aca="false">G609*G602</f>
        <v>1419029.64600018</v>
      </c>
      <c r="H610" s="3"/>
    </row>
    <row r="611" customFormat="false" ht="15" hidden="false" customHeight="false" outlineLevel="0" collapsed="false">
      <c r="A611" s="3" t="s">
        <v>525</v>
      </c>
      <c r="B611" s="3" t="s">
        <v>62</v>
      </c>
      <c r="C611" s="38" t="n">
        <f aca="false">AB537</f>
        <v>117680.25</v>
      </c>
      <c r="D611" s="38" t="n">
        <f aca="false">AC537</f>
        <v>364618.5</v>
      </c>
      <c r="E611" s="60" t="n">
        <f aca="false">E609*Assumptions!$E$19</f>
        <v>491791.9635225</v>
      </c>
      <c r="F611" s="60" t="n">
        <f aca="false">F609*Assumptions!$E$19</f>
        <v>596297.755771031</v>
      </c>
      <c r="G611" s="60" t="n">
        <f aca="false">G609*Assumptions!$E$19</f>
        <v>665170.146562585</v>
      </c>
      <c r="H611" s="3"/>
    </row>
    <row r="612" customFormat="false" ht="15" hidden="false" customHeight="false" outlineLevel="0" collapsed="false">
      <c r="A612" s="3" t="s">
        <v>526</v>
      </c>
      <c r="B612" s="3" t="s">
        <v>62</v>
      </c>
      <c r="C612" s="38" t="n">
        <f aca="false">AB538</f>
        <v>100347.5</v>
      </c>
      <c r="D612" s="38" t="n">
        <f aca="false">AC538</f>
        <v>316150.12</v>
      </c>
      <c r="E612" s="38" t="n">
        <f aca="false">E608*E605</f>
        <v>445297.126725</v>
      </c>
      <c r="F612" s="38" t="n">
        <f aca="false">F608*F605</f>
        <v>573320.050658438</v>
      </c>
      <c r="G612" s="38" t="n">
        <f aca="false">G608*G605</f>
        <v>679097.600004919</v>
      </c>
      <c r="H612" s="3"/>
    </row>
    <row r="613" customFormat="false" ht="15" hidden="false" customHeight="false" outlineLevel="0" collapsed="false">
      <c r="A613" s="3" t="s">
        <v>527</v>
      </c>
      <c r="B613" s="3" t="s">
        <v>62</v>
      </c>
      <c r="C613" s="38" t="n">
        <f aca="false">AB541</f>
        <v>102992.74</v>
      </c>
      <c r="D613" s="38" t="n">
        <f aca="false">AC541</f>
        <v>214927.76</v>
      </c>
      <c r="E613" s="38" t="n">
        <f aca="false">E609*E603</f>
        <v>311468.24356425</v>
      </c>
      <c r="F613" s="38" t="n">
        <f aca="false">F609*F603</f>
        <v>377655.245321653</v>
      </c>
      <c r="G613" s="38" t="n">
        <f aca="false">G609*G603</f>
        <v>421274.426156304</v>
      </c>
      <c r="H613" s="3"/>
    </row>
    <row r="614" customFormat="false" ht="15" hidden="false" customHeight="false" outlineLevel="0" collapsed="false">
      <c r="A614" s="3" t="s">
        <v>321</v>
      </c>
      <c r="B614" s="3" t="s">
        <v>62</v>
      </c>
      <c r="C614" s="38" t="n">
        <f aca="false">AB539+AB540</f>
        <v>35304.075</v>
      </c>
      <c r="D614" s="38" t="n">
        <f aca="false">AC539+AC540</f>
        <v>102564.03</v>
      </c>
      <c r="E614" s="60" t="n">
        <f aca="false">E609*(E604+Assumptions!$E$21)</f>
        <v>131144.523606</v>
      </c>
      <c r="F614" s="60" t="n">
        <f aca="false">F609*(F604+Assumptions!$E$21)</f>
        <v>159012.734872275</v>
      </c>
      <c r="G614" s="60" t="n">
        <f aca="false">G609*(G604+Assumptions!$E$21)</f>
        <v>177378.705750023</v>
      </c>
      <c r="H614" s="3"/>
    </row>
    <row r="615" customFormat="false" ht="15" hidden="false" customHeight="false" outlineLevel="0" collapsed="false">
      <c r="A615" s="9" t="s">
        <v>528</v>
      </c>
      <c r="B615" s="3" t="s">
        <v>62</v>
      </c>
      <c r="C615" s="29" t="n">
        <f aca="false">C609-C610-C611-C612-C613-C614</f>
        <v>177159.235</v>
      </c>
      <c r="D615" s="29" t="n">
        <f aca="false">D609-D610-D611-D612-D613-D614</f>
        <v>668319.83</v>
      </c>
      <c r="E615" s="29" t="n">
        <f aca="false">E609-E610-E611-E612-E613-E614</f>
        <v>898934.2402365</v>
      </c>
      <c r="F615" s="29" t="n">
        <f aca="false">F609-F610-F611-F612-F613-F614</f>
        <v>1036683.88992335</v>
      </c>
      <c r="G615" s="29" t="n">
        <f aca="false">G609-G610-G611-G612-G613-G614</f>
        <v>1072517.11927656</v>
      </c>
      <c r="H615" s="3"/>
    </row>
    <row r="616" customFormat="false" ht="15" hidden="false" customHeight="false" outlineLevel="0" collapsed="false">
      <c r="A616" s="9" t="s">
        <v>529</v>
      </c>
    </row>
    <row r="617" customFormat="false" ht="15" hidden="false" customHeight="false" outlineLevel="0" collapsed="false">
      <c r="A617" s="3" t="s">
        <v>524</v>
      </c>
      <c r="B617" s="3" t="s">
        <v>95</v>
      </c>
      <c r="C617" s="31" t="n">
        <f aca="false">AB563</f>
        <v>0</v>
      </c>
      <c r="D617" s="31" t="n">
        <f aca="false">AC563</f>
        <v>4522.4</v>
      </c>
      <c r="E617" s="31" t="n">
        <f aca="false">IF(E601=0,0,E618/E601)</f>
        <v>7631.55</v>
      </c>
      <c r="F617" s="31" t="n">
        <f aca="false">IF(F601=0,0,F618/F601)</f>
        <v>11447.325</v>
      </c>
      <c r="G617" s="31" t="n">
        <f aca="false">IF(G601=0,0,G618/G601)</f>
        <v>13164.42375</v>
      </c>
      <c r="H617" s="3"/>
    </row>
    <row r="618" customFormat="false" ht="15" hidden="false" customHeight="false" outlineLevel="0" collapsed="false">
      <c r="A618" s="9" t="s">
        <v>455</v>
      </c>
      <c r="B618" s="3" t="s">
        <v>62</v>
      </c>
      <c r="C618" s="29" t="n">
        <f aca="false">AB562</f>
        <v>0</v>
      </c>
      <c r="D618" s="29" t="n">
        <f aca="false">AC562</f>
        <v>194463.2</v>
      </c>
      <c r="E618" s="61" t="n">
        <f aca="false">E609*Assumptions!$E$50</f>
        <v>327861.309015</v>
      </c>
      <c r="F618" s="61" t="n">
        <f aca="false">F609*Assumptions!$E$51</f>
        <v>477038.204616825</v>
      </c>
      <c r="G618" s="61" t="n">
        <f aca="false">G609*Assumptions!$E$52</f>
        <v>532136.117250068</v>
      </c>
      <c r="H618" s="3"/>
    </row>
    <row r="619" customFormat="false" ht="15" hidden="false" customHeight="false" outlineLevel="0" collapsed="false">
      <c r="A619" s="3" t="s">
        <v>456</v>
      </c>
      <c r="B619" s="3" t="s">
        <v>62</v>
      </c>
      <c r="C619" s="38" t="n">
        <f aca="false">AB564</f>
        <v>0</v>
      </c>
      <c r="D619" s="38" t="n">
        <f aca="false">AC564</f>
        <v>61136.7808</v>
      </c>
      <c r="E619" s="38" t="n">
        <f aca="false">E618*E602</f>
        <v>99997.699249575</v>
      </c>
      <c r="F619" s="38" t="n">
        <f aca="false">F618*F602</f>
        <v>147881.843431216</v>
      </c>
      <c r="G619" s="38" t="n">
        <f aca="false">G618*G602</f>
        <v>170283.557520022</v>
      </c>
      <c r="H619" s="3"/>
    </row>
    <row r="620" customFormat="false" ht="15" hidden="false" customHeight="false" outlineLevel="0" collapsed="false">
      <c r="A620" s="3" t="s">
        <v>525</v>
      </c>
      <c r="B620" s="3" t="s">
        <v>62</v>
      </c>
      <c r="C620" s="38" t="n">
        <f aca="false">AB565</f>
        <v>0</v>
      </c>
      <c r="D620" s="38" t="n">
        <f aca="false">AC565</f>
        <v>25280.216</v>
      </c>
      <c r="E620" s="60" t="n">
        <f aca="false">E618*Assumptions!$E$66</f>
        <v>42621.97017195</v>
      </c>
      <c r="F620" s="60" t="n">
        <f aca="false">F618*Assumptions!$E$66</f>
        <v>62014.9666001873</v>
      </c>
      <c r="G620" s="60" t="n">
        <f aca="false">G618*Assumptions!$E$66</f>
        <v>69177.6952425089</v>
      </c>
      <c r="H620" s="3"/>
    </row>
    <row r="621" customFormat="false" ht="15" hidden="false" customHeight="false" outlineLevel="0" collapsed="false">
      <c r="A621" s="3" t="s">
        <v>526</v>
      </c>
      <c r="B621" s="3" t="s">
        <v>62</v>
      </c>
      <c r="C621" s="38" t="n">
        <f aca="false">AB566</f>
        <v>0</v>
      </c>
      <c r="D621" s="38" t="n">
        <f aca="false">AC566</f>
        <v>29395.6</v>
      </c>
      <c r="E621" s="60" t="n">
        <f aca="false">E617*Assumptions!$E$67</f>
        <v>49605.075</v>
      </c>
      <c r="F621" s="60" t="n">
        <f aca="false">F617*Assumptions!$E$67</f>
        <v>74407.6125</v>
      </c>
      <c r="G621" s="60" t="n">
        <f aca="false">G617*Assumptions!$E$67</f>
        <v>85568.754375</v>
      </c>
      <c r="H621" s="3"/>
    </row>
    <row r="622" customFormat="false" ht="15" hidden="false" customHeight="false" outlineLevel="0" collapsed="false">
      <c r="A622" s="3" t="s">
        <v>527</v>
      </c>
      <c r="B622" s="3" t="s">
        <v>62</v>
      </c>
      <c r="C622" s="38" t="n">
        <f aca="false">AB567</f>
        <v>0</v>
      </c>
      <c r="D622" s="38" t="n">
        <f aca="false">AC567</f>
        <v>9723.16</v>
      </c>
      <c r="E622" s="60" t="n">
        <f aca="false">E618*Assumptions!$E$68</f>
        <v>16393.06545075</v>
      </c>
      <c r="F622" s="60" t="n">
        <f aca="false">F618*Assumptions!$E$68</f>
        <v>23851.9102308413</v>
      </c>
      <c r="G622" s="60" t="n">
        <f aca="false">G618*Assumptions!$E$68</f>
        <v>26606.8058625034</v>
      </c>
      <c r="H622" s="3"/>
    </row>
    <row r="623" customFormat="false" ht="15" hidden="false" customHeight="false" outlineLevel="0" collapsed="false">
      <c r="A623" s="3" t="s">
        <v>321</v>
      </c>
      <c r="B623" s="3" t="s">
        <v>62</v>
      </c>
      <c r="C623" s="38" t="n">
        <f aca="false">AB568</f>
        <v>0</v>
      </c>
      <c r="D623" s="38" t="n">
        <f aca="false">AC568</f>
        <v>5833.896</v>
      </c>
      <c r="E623" s="60" t="n">
        <f aca="false">E618*Assumptions!$E$69</f>
        <v>9835.83927045</v>
      </c>
      <c r="F623" s="60" t="n">
        <f aca="false">F618*Assumptions!$E$69</f>
        <v>14311.1461385048</v>
      </c>
      <c r="G623" s="60" t="n">
        <f aca="false">G618*Assumptions!$E$69</f>
        <v>15964.083517502</v>
      </c>
      <c r="H623" s="3"/>
    </row>
    <row r="624" customFormat="false" ht="15" hidden="false" customHeight="false" outlineLevel="0" collapsed="false">
      <c r="A624" s="9" t="s">
        <v>528</v>
      </c>
      <c r="B624" s="3" t="s">
        <v>62</v>
      </c>
      <c r="C624" s="29" t="n">
        <f aca="false">C618-C619-C620-C621-C622-C623</f>
        <v>0</v>
      </c>
      <c r="D624" s="29" t="n">
        <f aca="false">D618-D619-D620-D621-D622-D623</f>
        <v>63093.5472</v>
      </c>
      <c r="E624" s="29" t="n">
        <f aca="false">E618-E619-E620-E621-E622-E623</f>
        <v>109407.659872275</v>
      </c>
      <c r="F624" s="29" t="n">
        <f aca="false">F618-F619-F620-F621-F622-F623</f>
        <v>154570.725716076</v>
      </c>
      <c r="G624" s="29" t="n">
        <f aca="false">G618-G619-G620-G621-G622-G623</f>
        <v>164535.220732532</v>
      </c>
      <c r="H624" s="3"/>
    </row>
    <row r="625" customFormat="false" ht="15" hidden="false" customHeight="false" outlineLevel="0" collapsed="false">
      <c r="A625" s="9" t="s">
        <v>530</v>
      </c>
    </row>
    <row r="626" customFormat="false" ht="15" hidden="false" customHeight="false" outlineLevel="0" collapsed="false">
      <c r="A626" s="3" t="s">
        <v>524</v>
      </c>
      <c r="B626" s="3" t="s">
        <v>95</v>
      </c>
      <c r="C626" s="31" t="n">
        <f aca="false">AB571</f>
        <v>0</v>
      </c>
      <c r="D626" s="31" t="n">
        <f aca="false">AC571</f>
        <v>8372.09302325581</v>
      </c>
      <c r="E626" s="62" t="n">
        <f aca="false">IF(E601=0,0,E627/(E601*Assumptions!$E$70))</f>
        <v>24440.6011922358</v>
      </c>
      <c r="F626" s="62" t="n">
        <f aca="false">IF(F601=0,0,F627/(F601*Assumptions!$E$70))</f>
        <v>43193.9932705198</v>
      </c>
      <c r="G626" s="62" t="n">
        <f aca="false">IF(G601=0,0,G627/(G601*Assumptions!$E$70))</f>
        <v>63084.0107902781</v>
      </c>
      <c r="H626" s="3"/>
    </row>
    <row r="627" customFormat="false" ht="15" hidden="false" customHeight="false" outlineLevel="0" collapsed="false">
      <c r="A627" s="9" t="s">
        <v>455</v>
      </c>
      <c r="B627" s="3" t="s">
        <v>62</v>
      </c>
      <c r="C627" s="29" t="n">
        <f aca="false">AB570</f>
        <v>0</v>
      </c>
      <c r="D627" s="29" t="n">
        <f aca="false">AC570</f>
        <v>216000</v>
      </c>
      <c r="E627" s="61" t="n">
        <f aca="false">Assumptions!$E$54</f>
        <v>630000</v>
      </c>
      <c r="F627" s="61" t="n">
        <f aca="false">Assumptions!$E$55</f>
        <v>1080000</v>
      </c>
      <c r="G627" s="61" t="n">
        <f aca="false">Assumptions!$E$56</f>
        <v>1530000</v>
      </c>
      <c r="H627" s="3"/>
    </row>
    <row r="628" customFormat="false" ht="15" hidden="false" customHeight="false" outlineLevel="0" collapsed="false">
      <c r="A628" s="3" t="s">
        <v>456</v>
      </c>
      <c r="B628" s="3" t="s">
        <v>62</v>
      </c>
      <c r="C628" s="38" t="n">
        <f aca="false">AB572</f>
        <v>0</v>
      </c>
      <c r="D628" s="38" t="n">
        <f aca="false">AC572</f>
        <v>113400</v>
      </c>
      <c r="E628" s="38" t="n">
        <f aca="false">E626*E601*E602</f>
        <v>320250</v>
      </c>
      <c r="F628" s="38" t="n">
        <f aca="false">F626*F601*F602</f>
        <v>558000</v>
      </c>
      <c r="G628" s="38" t="n">
        <f aca="false">G626*G601*G602</f>
        <v>816000</v>
      </c>
      <c r="H628" s="3"/>
    </row>
    <row r="629" customFormat="false" ht="15" hidden="false" customHeight="false" outlineLevel="0" collapsed="false">
      <c r="A629" s="3" t="s">
        <v>525</v>
      </c>
      <c r="B629" s="3" t="s">
        <v>62</v>
      </c>
      <c r="C629" s="38" t="n">
        <f aca="false">AB574</f>
        <v>0</v>
      </c>
      <c r="D629" s="38" t="n">
        <f aca="false">AC574</f>
        <v>10800</v>
      </c>
      <c r="E629" s="60" t="n">
        <f aca="false">E627*Assumptions!$E$72</f>
        <v>31500</v>
      </c>
      <c r="F629" s="60" t="n">
        <f aca="false">F627*Assumptions!$E$72</f>
        <v>54000</v>
      </c>
      <c r="G629" s="60" t="n">
        <f aca="false">G627*Assumptions!$E$72</f>
        <v>76500</v>
      </c>
      <c r="H629" s="3"/>
    </row>
    <row r="630" customFormat="false" ht="15" hidden="false" customHeight="false" outlineLevel="0" collapsed="false">
      <c r="A630" s="3" t="s">
        <v>526</v>
      </c>
      <c r="B630" s="3" t="s">
        <v>62</v>
      </c>
      <c r="C630" s="38" t="n">
        <f aca="false">AB573</f>
        <v>0</v>
      </c>
      <c r="D630" s="38" t="n">
        <f aca="false">AC573</f>
        <v>33488.3720930233</v>
      </c>
      <c r="E630" s="60" t="n">
        <f aca="false">E626*Assumptions!$E$71</f>
        <v>97762.4047689432</v>
      </c>
      <c r="F630" s="60" t="n">
        <f aca="false">F626*Assumptions!$E$71</f>
        <v>172775.973082079</v>
      </c>
      <c r="G630" s="60" t="n">
        <f aca="false">G626*Assumptions!$E$71</f>
        <v>252336.043161112</v>
      </c>
      <c r="H630" s="3"/>
    </row>
    <row r="631" customFormat="false" ht="15" hidden="false" customHeight="false" outlineLevel="0" collapsed="false">
      <c r="A631" s="3" t="s">
        <v>527</v>
      </c>
      <c r="B631" s="3" t="s">
        <v>62</v>
      </c>
      <c r="C631" s="38" t="n">
        <f aca="false">AB575</f>
        <v>0</v>
      </c>
      <c r="D631" s="38" t="n">
        <f aca="false">AC575</f>
        <v>6480</v>
      </c>
      <c r="E631" s="60" t="n">
        <f aca="false">E627*Assumptions!$E$73</f>
        <v>18900</v>
      </c>
      <c r="F631" s="60" t="n">
        <f aca="false">F627*Assumptions!$E$73</f>
        <v>32400</v>
      </c>
      <c r="G631" s="60" t="n">
        <f aca="false">G627*Assumptions!$E$73</f>
        <v>45900</v>
      </c>
      <c r="H631" s="3"/>
    </row>
    <row r="632" customFormat="false" ht="15" hidden="false" customHeight="false" outlineLevel="0" collapsed="false">
      <c r="A632" s="3" t="s">
        <v>321</v>
      </c>
      <c r="B632" s="3" t="s">
        <v>62</v>
      </c>
      <c r="C632" s="38" t="n">
        <f aca="false">AB576</f>
        <v>0</v>
      </c>
      <c r="D632" s="38" t="n">
        <f aca="false">AC576</f>
        <v>4320</v>
      </c>
      <c r="E632" s="60" t="n">
        <f aca="false">E627*Assumptions!$E$74</f>
        <v>12600</v>
      </c>
      <c r="F632" s="60" t="n">
        <f aca="false">F627*Assumptions!$E$74</f>
        <v>21600</v>
      </c>
      <c r="G632" s="60" t="n">
        <f aca="false">G627*Assumptions!$E$74</f>
        <v>30600</v>
      </c>
      <c r="H632" s="3"/>
    </row>
    <row r="633" customFormat="false" ht="15" hidden="false" customHeight="false" outlineLevel="0" collapsed="false">
      <c r="A633" s="9" t="s">
        <v>528</v>
      </c>
      <c r="B633" s="3" t="s">
        <v>62</v>
      </c>
      <c r="C633" s="29" t="n">
        <f aca="false">C627-C628-C629-C630-C631-C632</f>
        <v>0</v>
      </c>
      <c r="D633" s="29" t="n">
        <f aca="false">D627-D628-D629-D630-D631-D632</f>
        <v>47511.6279069768</v>
      </c>
      <c r="E633" s="29" t="n">
        <f aca="false">E627-E628-E629-E630-E631-E632</f>
        <v>148987.595231057</v>
      </c>
      <c r="F633" s="29" t="n">
        <f aca="false">F627-F628-F629-F630-F631-F632</f>
        <v>241224.026917921</v>
      </c>
      <c r="G633" s="29" t="n">
        <f aca="false">G627-G628-G629-G630-G631-G632</f>
        <v>308663.956838888</v>
      </c>
      <c r="H633" s="3"/>
    </row>
    <row r="634" customFormat="false" ht="15" hidden="false" customHeight="false" outlineLevel="0" collapsed="false">
      <c r="A634" s="9" t="s">
        <v>531</v>
      </c>
    </row>
    <row r="635" customFormat="false" ht="15" hidden="false" customHeight="false" outlineLevel="0" collapsed="false">
      <c r="A635" s="3" t="s">
        <v>524</v>
      </c>
      <c r="B635" s="3" t="s">
        <v>95</v>
      </c>
      <c r="C635" s="31" t="n">
        <f aca="false">0</f>
        <v>0</v>
      </c>
      <c r="D635" s="31" t="n">
        <f aca="false">0</f>
        <v>0</v>
      </c>
      <c r="E635" s="31" t="n">
        <f aca="false">IF(E601=0,0,E636/E601)</f>
        <v>4189.81734724042</v>
      </c>
      <c r="F635" s="31" t="n">
        <f aca="false">IF(F601=0,0,F636/F601)</f>
        <v>10798.49831763</v>
      </c>
      <c r="G635" s="31" t="n">
        <f aca="false">IF(G601=0,0,G636/G601)</f>
        <v>17811.9559878432</v>
      </c>
      <c r="H635" s="3"/>
    </row>
    <row r="636" customFormat="false" ht="15" hidden="false" customHeight="false" outlineLevel="0" collapsed="false">
      <c r="A636" s="9" t="s">
        <v>455</v>
      </c>
      <c r="B636" s="3" t="s">
        <v>62</v>
      </c>
      <c r="C636" s="29" t="n">
        <f aca="false">0</f>
        <v>0</v>
      </c>
      <c r="D636" s="29" t="n">
        <f aca="false">0</f>
        <v>0</v>
      </c>
      <c r="E636" s="61" t="n">
        <f aca="false">Assumptions!$E$57</f>
        <v>180000</v>
      </c>
      <c r="F636" s="61" t="n">
        <f aca="false">Assumptions!$E$58</f>
        <v>450000</v>
      </c>
      <c r="G636" s="61" t="n">
        <f aca="false">Assumptions!$E$59</f>
        <v>720000</v>
      </c>
      <c r="H636" s="3"/>
    </row>
    <row r="637" customFormat="false" ht="15" hidden="false" customHeight="false" outlineLevel="0" collapsed="false">
      <c r="A637" s="3" t="s">
        <v>456</v>
      </c>
      <c r="B637" s="3" t="s">
        <v>62</v>
      </c>
      <c r="C637" s="38" t="n">
        <f aca="false">0</f>
        <v>0</v>
      </c>
      <c r="D637" s="38" t="n">
        <f aca="false">0</f>
        <v>0</v>
      </c>
      <c r="E637" s="38" t="n">
        <f aca="false">E636*E602</f>
        <v>54900</v>
      </c>
      <c r="F637" s="38" t="n">
        <f aca="false">F636*F602</f>
        <v>139500</v>
      </c>
      <c r="G637" s="38" t="n">
        <f aca="false">G636*G602</f>
        <v>230400</v>
      </c>
      <c r="H637" s="3"/>
    </row>
    <row r="638" customFormat="false" ht="15" hidden="false" customHeight="false" outlineLevel="0" collapsed="false">
      <c r="A638" s="3" t="s">
        <v>525</v>
      </c>
      <c r="B638" s="3" t="s">
        <v>62</v>
      </c>
      <c r="C638" s="38" t="n">
        <f aca="false">0</f>
        <v>0</v>
      </c>
      <c r="D638" s="38" t="n">
        <f aca="false">0</f>
        <v>0</v>
      </c>
      <c r="E638" s="60" t="n">
        <f aca="false">E636*Assumptions!$E$75</f>
        <v>5400</v>
      </c>
      <c r="F638" s="60" t="n">
        <f aca="false">F636*Assumptions!$E$75</f>
        <v>13500</v>
      </c>
      <c r="G638" s="60" t="n">
        <f aca="false">G636*Assumptions!$E$75</f>
        <v>21600</v>
      </c>
      <c r="H638" s="3"/>
    </row>
    <row r="639" customFormat="false" ht="15" hidden="false" customHeight="false" outlineLevel="0" collapsed="false">
      <c r="A639" s="3" t="s">
        <v>526</v>
      </c>
      <c r="B639" s="3" t="s">
        <v>62</v>
      </c>
      <c r="C639" s="38" t="n">
        <f aca="false">0</f>
        <v>0</v>
      </c>
      <c r="D639" s="38" t="n">
        <f aca="false">0</f>
        <v>0</v>
      </c>
      <c r="E639" s="60" t="n">
        <f aca="false">E635*Assumptions!$E$76</f>
        <v>46087.9908196447</v>
      </c>
      <c r="F639" s="60" t="n">
        <f aca="false">F635*Assumptions!$E$76</f>
        <v>118783.48149393</v>
      </c>
      <c r="G639" s="60" t="n">
        <f aca="false">G635*Assumptions!$E$76</f>
        <v>195931.515866276</v>
      </c>
      <c r="H639" s="3"/>
    </row>
    <row r="640" customFormat="false" ht="15" hidden="false" customHeight="false" outlineLevel="0" collapsed="false">
      <c r="A640" s="3" t="s">
        <v>527</v>
      </c>
      <c r="B640" s="3" t="s">
        <v>62</v>
      </c>
      <c r="C640" s="38" t="n">
        <f aca="false">0</f>
        <v>0</v>
      </c>
      <c r="D640" s="38" t="n">
        <f aca="false">0</f>
        <v>0</v>
      </c>
      <c r="E640" s="60" t="n">
        <f aca="false">E636*Assumptions!$E$77</f>
        <v>27000</v>
      </c>
      <c r="F640" s="60" t="n">
        <f aca="false">F636*Assumptions!$E$77</f>
        <v>67500</v>
      </c>
      <c r="G640" s="60" t="n">
        <f aca="false">G636*Assumptions!$E$77</f>
        <v>108000</v>
      </c>
      <c r="H640" s="3"/>
    </row>
    <row r="641" customFormat="false" ht="15" hidden="false" customHeight="false" outlineLevel="0" collapsed="false">
      <c r="A641" s="3" t="s">
        <v>321</v>
      </c>
      <c r="B641" s="3" t="s">
        <v>62</v>
      </c>
      <c r="C641" s="38" t="n">
        <f aca="false">0</f>
        <v>0</v>
      </c>
      <c r="D641" s="38" t="n">
        <f aca="false">0</f>
        <v>0</v>
      </c>
      <c r="E641" s="60" t="n">
        <f aca="false">E636*Assumptions!$E$78</f>
        <v>5400</v>
      </c>
      <c r="F641" s="60" t="n">
        <f aca="false">F636*Assumptions!$E$78</f>
        <v>13500</v>
      </c>
      <c r="G641" s="60" t="n">
        <f aca="false">G636*Assumptions!$E$78</f>
        <v>21600</v>
      </c>
      <c r="H641" s="3"/>
    </row>
    <row r="642" customFormat="false" ht="15" hidden="false" customHeight="false" outlineLevel="0" collapsed="false">
      <c r="A642" s="9" t="s">
        <v>528</v>
      </c>
      <c r="B642" s="3" t="s">
        <v>62</v>
      </c>
      <c r="C642" s="29" t="n">
        <f aca="false">C636-C637-C638-C639-C640-C641</f>
        <v>0</v>
      </c>
      <c r="D642" s="29" t="n">
        <f aca="false">D636-D637-D638-D639-D640-D641</f>
        <v>0</v>
      </c>
      <c r="E642" s="29" t="n">
        <f aca="false">E636-E637-E638-E639-E640-E641</f>
        <v>41212.0091803554</v>
      </c>
      <c r="F642" s="29" t="n">
        <f aca="false">F636-F637-F638-F639-F640-F641</f>
        <v>97216.5185060705</v>
      </c>
      <c r="G642" s="29" t="n">
        <f aca="false">G636-G637-G638-G639-G640-G641</f>
        <v>142468.484133724</v>
      </c>
      <c r="H642" s="3"/>
    </row>
    <row r="643" customFormat="false" ht="15" hidden="false" customHeight="false" outlineLevel="0" collapsed="false">
      <c r="A643" s="9" t="s">
        <v>532</v>
      </c>
    </row>
    <row r="644" customFormat="false" ht="15" hidden="false" customHeight="false" outlineLevel="0" collapsed="false">
      <c r="A644" s="3" t="s">
        <v>524</v>
      </c>
      <c r="B644" s="3" t="s">
        <v>95</v>
      </c>
      <c r="C644" s="31" t="n">
        <f aca="false">0</f>
        <v>0</v>
      </c>
      <c r="D644" s="31" t="n">
        <f aca="false">0</f>
        <v>0</v>
      </c>
      <c r="E644" s="62" t="n">
        <f aca="false">IF(E601=0,0,E645/(E601*Assumptions!$E$79))</f>
        <v>0</v>
      </c>
      <c r="F644" s="62" t="n">
        <f aca="false">IF(F601=0,0,F645/(F601*Assumptions!$E$79))</f>
        <v>5633.99912224172</v>
      </c>
      <c r="G644" s="62" t="n">
        <f aca="false">IF(G601=0,0,G645/(G601*Assumptions!$E$79))</f>
        <v>12100.5135786978</v>
      </c>
      <c r="H644" s="3"/>
    </row>
    <row r="645" customFormat="false" ht="15" hidden="false" customHeight="false" outlineLevel="0" collapsed="false">
      <c r="A645" s="9" t="s">
        <v>455</v>
      </c>
      <c r="B645" s="3" t="s">
        <v>62</v>
      </c>
      <c r="C645" s="29" t="n">
        <f aca="false">0</f>
        <v>0</v>
      </c>
      <c r="D645" s="29" t="n">
        <f aca="false">0</f>
        <v>0</v>
      </c>
      <c r="E645" s="29" t="n">
        <f aca="false">0</f>
        <v>0</v>
      </c>
      <c r="F645" s="61" t="n">
        <f aca="false">Assumptions!$E$60</f>
        <v>216000</v>
      </c>
      <c r="G645" s="61" t="n">
        <f aca="false">Assumptions!$E$61</f>
        <v>450000</v>
      </c>
      <c r="H645" s="3"/>
    </row>
    <row r="646" customFormat="false" ht="15" hidden="false" customHeight="false" outlineLevel="0" collapsed="false">
      <c r="A646" s="3" t="s">
        <v>456</v>
      </c>
      <c r="B646" s="3" t="s">
        <v>62</v>
      </c>
      <c r="C646" s="38" t="n">
        <f aca="false">0</f>
        <v>0</v>
      </c>
      <c r="D646" s="38" t="n">
        <f aca="false">0</f>
        <v>0</v>
      </c>
      <c r="E646" s="60" t="n">
        <f aca="false">E644*E601*E602*(1+Assumptions!$E$84)</f>
        <v>0</v>
      </c>
      <c r="F646" s="60" t="n">
        <f aca="false">F644*F601*F602*(1+Assumptions!$E$84)</f>
        <v>72782.6086956522</v>
      </c>
      <c r="G646" s="60" t="n">
        <f aca="false">G644*G601*G602*(1+Assumptions!$E$84)</f>
        <v>156521.739130435</v>
      </c>
      <c r="H646" s="3"/>
    </row>
    <row r="647" customFormat="false" ht="15" hidden="false" customHeight="false" outlineLevel="0" collapsed="false">
      <c r="A647" s="3" t="s">
        <v>525</v>
      </c>
      <c r="B647" s="3" t="s">
        <v>62</v>
      </c>
      <c r="C647" s="38" t="n">
        <f aca="false">0</f>
        <v>0</v>
      </c>
      <c r="D647" s="38" t="n">
        <f aca="false">0</f>
        <v>0</v>
      </c>
      <c r="E647" s="60" t="n">
        <f aca="false">E645*Assumptions!$E$81</f>
        <v>0</v>
      </c>
      <c r="F647" s="60" t="n">
        <f aca="false">F645*Assumptions!$E$81</f>
        <v>32400</v>
      </c>
      <c r="G647" s="60" t="n">
        <f aca="false">G645*Assumptions!$E$81</f>
        <v>67500</v>
      </c>
      <c r="H647" s="3"/>
    </row>
    <row r="648" customFormat="false" ht="15" hidden="false" customHeight="false" outlineLevel="0" collapsed="false">
      <c r="A648" s="3" t="s">
        <v>526</v>
      </c>
      <c r="B648" s="3" t="s">
        <v>62</v>
      </c>
      <c r="C648" s="38" t="n">
        <f aca="false">0</f>
        <v>0</v>
      </c>
      <c r="D648" s="38" t="n">
        <f aca="false">0</f>
        <v>0</v>
      </c>
      <c r="E648" s="60" t="n">
        <f aca="false">E644*Assumptions!$E$80</f>
        <v>0</v>
      </c>
      <c r="F648" s="60" t="n">
        <f aca="false">F644*Assumptions!$E$80</f>
        <v>36620.9942945712</v>
      </c>
      <c r="G648" s="60" t="n">
        <f aca="false">G644*Assumptions!$E$80</f>
        <v>78653.338261536</v>
      </c>
      <c r="H648" s="3"/>
    </row>
    <row r="649" customFormat="false" ht="15" hidden="false" customHeight="false" outlineLevel="0" collapsed="false">
      <c r="A649" s="3" t="s">
        <v>527</v>
      </c>
      <c r="B649" s="3" t="s">
        <v>62</v>
      </c>
      <c r="C649" s="38" t="n">
        <f aca="false">0</f>
        <v>0</v>
      </c>
      <c r="D649" s="38" t="n">
        <f aca="false">0</f>
        <v>0</v>
      </c>
      <c r="E649" s="60" t="n">
        <f aca="false">E645*Assumptions!$E$82</f>
        <v>0</v>
      </c>
      <c r="F649" s="60" t="n">
        <f aca="false">F645*Assumptions!$E$82</f>
        <v>25920</v>
      </c>
      <c r="G649" s="60" t="n">
        <f aca="false">G645*Assumptions!$E$82</f>
        <v>54000</v>
      </c>
      <c r="H649" s="3"/>
    </row>
    <row r="650" customFormat="false" ht="15" hidden="false" customHeight="false" outlineLevel="0" collapsed="false">
      <c r="A650" s="3" t="s">
        <v>321</v>
      </c>
      <c r="B650" s="3" t="s">
        <v>62</v>
      </c>
      <c r="C650" s="38" t="n">
        <f aca="false">0</f>
        <v>0</v>
      </c>
      <c r="D650" s="38" t="n">
        <f aca="false">0</f>
        <v>0</v>
      </c>
      <c r="E650" s="60" t="n">
        <f aca="false">E645*Assumptions!$E$83</f>
        <v>0</v>
      </c>
      <c r="F650" s="60" t="n">
        <f aca="false">F645*Assumptions!$E$83</f>
        <v>6480</v>
      </c>
      <c r="G650" s="60" t="n">
        <f aca="false">G645*Assumptions!$E$83</f>
        <v>13500</v>
      </c>
      <c r="H650" s="3"/>
    </row>
    <row r="651" customFormat="false" ht="15" hidden="false" customHeight="false" outlineLevel="0" collapsed="false">
      <c r="A651" s="9" t="s">
        <v>528</v>
      </c>
      <c r="B651" s="3" t="s">
        <v>62</v>
      </c>
      <c r="C651" s="29" t="n">
        <f aca="false">C645-C646-C647-C648-C649-C650</f>
        <v>0</v>
      </c>
      <c r="D651" s="29" t="n">
        <f aca="false">D645-D646-D647-D648-D649-D650</f>
        <v>0</v>
      </c>
      <c r="E651" s="29" t="n">
        <f aca="false">E645-E646-E647-E648-E649-E650</f>
        <v>0</v>
      </c>
      <c r="F651" s="29" t="n">
        <f aca="false">F645-F646-F647-F648-F649-F650</f>
        <v>41796.3970097767</v>
      </c>
      <c r="G651" s="29" t="n">
        <f aca="false">G645-G646-G647-G648-G649-G650</f>
        <v>79824.9226080292</v>
      </c>
      <c r="H651" s="3"/>
    </row>
    <row r="652" customFormat="false" ht="15" hidden="false" customHeight="false" outlineLevel="0" collapsed="false">
      <c r="A652" s="9" t="s">
        <v>533</v>
      </c>
    </row>
    <row r="653" customFormat="false" ht="15" hidden="false" customHeight="false" outlineLevel="0" collapsed="false">
      <c r="A653" s="3" t="s">
        <v>524</v>
      </c>
      <c r="B653" s="3" t="s">
        <v>95</v>
      </c>
      <c r="C653" s="31" t="n">
        <f aca="false">0</f>
        <v>0</v>
      </c>
      <c r="D653" s="31" t="n">
        <f aca="false">0</f>
        <v>0</v>
      </c>
      <c r="E653" s="62" t="n">
        <f aca="false">IF(Assumptions!$E$85=0,0,E654/Assumptions!$E$85)</f>
        <v>0</v>
      </c>
      <c r="F653" s="62" t="n">
        <f aca="false">IF(Assumptions!$E$85=0,0,F654/Assumptions!$E$85)</f>
        <v>2250</v>
      </c>
      <c r="G653" s="62" t="n">
        <f aca="false">IF(Assumptions!$E$85=0,0,G654/Assumptions!$E$85)</f>
        <v>5250</v>
      </c>
      <c r="H653" s="3"/>
    </row>
    <row r="654" customFormat="false" ht="15" hidden="false" customHeight="false" outlineLevel="0" collapsed="false">
      <c r="A654" s="9" t="s">
        <v>455</v>
      </c>
      <c r="B654" s="3" t="s">
        <v>62</v>
      </c>
      <c r="C654" s="29" t="n">
        <f aca="false">0</f>
        <v>0</v>
      </c>
      <c r="D654" s="29" t="n">
        <f aca="false">0</f>
        <v>0</v>
      </c>
      <c r="E654" s="29" t="n">
        <f aca="false">0</f>
        <v>0</v>
      </c>
      <c r="F654" s="61" t="n">
        <f aca="false">Assumptions!$E$62</f>
        <v>270000</v>
      </c>
      <c r="G654" s="61" t="n">
        <f aca="false">Assumptions!$E$63</f>
        <v>630000</v>
      </c>
      <c r="H654" s="3"/>
    </row>
    <row r="655" customFormat="false" ht="15" hidden="false" customHeight="false" outlineLevel="0" collapsed="false">
      <c r="A655" s="3" t="s">
        <v>456</v>
      </c>
      <c r="B655" s="3" t="s">
        <v>62</v>
      </c>
      <c r="C655" s="38" t="n">
        <f aca="false">0</f>
        <v>0</v>
      </c>
      <c r="D655" s="38" t="n">
        <f aca="false">0</f>
        <v>0</v>
      </c>
      <c r="E655" s="60" t="n">
        <f aca="false">E654*Assumptions!$E$86</f>
        <v>0</v>
      </c>
      <c r="F655" s="60" t="n">
        <f aca="false">F654*Assumptions!$E$86</f>
        <v>108000</v>
      </c>
      <c r="G655" s="60" t="n">
        <f aca="false">G654*Assumptions!$E$86</f>
        <v>252000</v>
      </c>
      <c r="H655" s="3"/>
    </row>
    <row r="656" customFormat="false" ht="15" hidden="false" customHeight="false" outlineLevel="0" collapsed="false">
      <c r="A656" s="3" t="s">
        <v>525</v>
      </c>
      <c r="B656" s="3" t="s">
        <v>62</v>
      </c>
      <c r="C656" s="38" t="n">
        <f aca="false">0</f>
        <v>0</v>
      </c>
      <c r="D656" s="38" t="n">
        <f aca="false">0</f>
        <v>0</v>
      </c>
      <c r="E656" s="60" t="n">
        <f aca="false">E654*(Assumptions!$E$87*Assumptions!$E$72+(1-Assumptions!$E$87)*Assumptions!$E$19)</f>
        <v>0</v>
      </c>
      <c r="F656" s="60" t="n">
        <f aca="false">F654*(Assumptions!$E$87*Assumptions!$E$72+(1-Assumptions!$E$87)*Assumptions!$E$19)</f>
        <v>24300</v>
      </c>
      <c r="G656" s="60" t="n">
        <f aca="false">G654*(Assumptions!$E$87*Assumptions!$E$72+(1-Assumptions!$E$87)*Assumptions!$E$19)</f>
        <v>56700</v>
      </c>
      <c r="H656" s="3"/>
    </row>
    <row r="657" customFormat="false" ht="15" hidden="false" customHeight="false" outlineLevel="0" collapsed="false">
      <c r="A657" s="3" t="s">
        <v>526</v>
      </c>
      <c r="B657" s="3" t="s">
        <v>62</v>
      </c>
      <c r="C657" s="38" t="n">
        <f aca="false">0</f>
        <v>0</v>
      </c>
      <c r="D657" s="38" t="n">
        <f aca="false">0</f>
        <v>0</v>
      </c>
      <c r="E657" s="60" t="n">
        <f aca="false">E653*(Assumptions!$E$87*Assumptions!$E$71+(1-Assumptions!$E$87)*Assumptions!$E$88)</f>
        <v>0</v>
      </c>
      <c r="F657" s="60" t="n">
        <f aca="false">F653*(Assumptions!$E$87*Assumptions!$E$71+(1-Assumptions!$E$87)*Assumptions!$E$88)</f>
        <v>12960</v>
      </c>
      <c r="G657" s="60" t="n">
        <f aca="false">G653*(Assumptions!$E$87*Assumptions!$E$71+(1-Assumptions!$E$87)*Assumptions!$E$88)</f>
        <v>30240</v>
      </c>
      <c r="H657" s="3"/>
    </row>
    <row r="658" customFormat="false" ht="15" hidden="false" customHeight="false" outlineLevel="0" collapsed="false">
      <c r="A658" s="3" t="s">
        <v>527</v>
      </c>
      <c r="B658" s="3" t="s">
        <v>62</v>
      </c>
      <c r="C658" s="38" t="n">
        <f aca="false">0</f>
        <v>0</v>
      </c>
      <c r="D658" s="38" t="n">
        <f aca="false">0</f>
        <v>0</v>
      </c>
      <c r="E658" s="60" t="n">
        <f aca="false">E654*(Assumptions!$E$87*Assumptions!$E$73+(1-Assumptions!$E$87)*Assumptions!$E$89)</f>
        <v>0</v>
      </c>
      <c r="F658" s="60" t="n">
        <f aca="false">F654*(Assumptions!$E$87*Assumptions!$E$73+(1-Assumptions!$E$87)*Assumptions!$E$89)</f>
        <v>17820</v>
      </c>
      <c r="G658" s="60" t="n">
        <f aca="false">G654*(Assumptions!$E$87*Assumptions!$E$73+(1-Assumptions!$E$87)*Assumptions!$E$89)</f>
        <v>41580</v>
      </c>
      <c r="H658" s="3"/>
    </row>
    <row r="659" customFormat="false" ht="15" hidden="false" customHeight="false" outlineLevel="0" collapsed="false">
      <c r="A659" s="3" t="s">
        <v>321</v>
      </c>
      <c r="B659" s="3" t="s">
        <v>62</v>
      </c>
      <c r="C659" s="38" t="n">
        <f aca="false">0</f>
        <v>0</v>
      </c>
      <c r="D659" s="38" t="n">
        <f aca="false">0</f>
        <v>0</v>
      </c>
      <c r="E659" s="60" t="n">
        <f aca="false">E654*(Assumptions!$E$87*Assumptions!$E$74+(1-Assumptions!$E$87)*(Assumptions!$E$90+Assumptions!$E$91))</f>
        <v>0</v>
      </c>
      <c r="F659" s="60" t="n">
        <f aca="false">F654*(Assumptions!$E$87*Assumptions!$E$74+(1-Assumptions!$E$87)*(Assumptions!$E$90+Assumptions!$E$91))</f>
        <v>8640</v>
      </c>
      <c r="G659" s="60" t="n">
        <f aca="false">G654*(Assumptions!$E$87*Assumptions!$E$74+(1-Assumptions!$E$87)*(Assumptions!$E$90+Assumptions!$E$91))</f>
        <v>20160</v>
      </c>
      <c r="H659" s="3"/>
    </row>
    <row r="660" customFormat="false" ht="15" hidden="false" customHeight="false" outlineLevel="0" collapsed="false">
      <c r="A660" s="9" t="s">
        <v>528</v>
      </c>
      <c r="B660" s="3" t="s">
        <v>62</v>
      </c>
      <c r="C660" s="29" t="n">
        <f aca="false">C654-C655-C656-C657-C658-C659</f>
        <v>0</v>
      </c>
      <c r="D660" s="29" t="n">
        <f aca="false">D654-D655-D656-D657-D658-D659</f>
        <v>0</v>
      </c>
      <c r="E660" s="29" t="n">
        <f aca="false">E654-E655-E656-E657-E658-E659</f>
        <v>0</v>
      </c>
      <c r="F660" s="29" t="n">
        <f aca="false">F654-F655-F656-F657-F658-F659</f>
        <v>98280</v>
      </c>
      <c r="G660" s="29" t="n">
        <f aca="false">G654-G655-G656-G657-G658-G659</f>
        <v>229320</v>
      </c>
      <c r="H660" s="3"/>
    </row>
    <row r="662" customFormat="false" ht="15" hidden="false" customHeight="false" outlineLevel="0" collapsed="false">
      <c r="A662" s="9" t="s">
        <v>534</v>
      </c>
    </row>
    <row r="663" customFormat="false" ht="15" hidden="false" customHeight="false" outlineLevel="0" collapsed="false">
      <c r="A663" s="9" t="s">
        <v>495</v>
      </c>
      <c r="B663" s="3" t="s">
        <v>62</v>
      </c>
      <c r="C663" s="29" t="n">
        <f aca="false">C609+C618+C627+C636+C645+C654</f>
        <v>784535</v>
      </c>
      <c r="D663" s="29" t="n">
        <f aca="false">D609+D618+D627+D636+D645+D654</f>
        <v>2841253.2</v>
      </c>
      <c r="E663" s="29" t="n">
        <f aca="false">E609+E618+E627+E636+E645+E654</f>
        <v>4416474.399165</v>
      </c>
      <c r="F663" s="29" t="n">
        <f aca="false">F609+F618+F627+F636+F645+F654</f>
        <v>6468356.5764237</v>
      </c>
      <c r="G663" s="29" t="n">
        <f aca="false">G609+G618+G627+G636+G645+G654</f>
        <v>8296603.76100064</v>
      </c>
      <c r="H663" s="3"/>
    </row>
    <row r="664" customFormat="false" ht="15" hidden="false" customHeight="false" outlineLevel="0" collapsed="false">
      <c r="A664" s="3" t="s">
        <v>456</v>
      </c>
      <c r="B664" s="3" t="s">
        <v>62</v>
      </c>
      <c r="C664" s="38" t="n">
        <f aca="false">C610+C619+C628+C637+C646+C655</f>
        <v>251051.2</v>
      </c>
      <c r="D664" s="38" t="n">
        <f aca="false">D610+D619+D628+D637+D646+D655</f>
        <v>938746.5408</v>
      </c>
      <c r="E664" s="38" t="n">
        <f aca="false">E610+E619+E628+E637+E646+E655</f>
        <v>1475124.69174533</v>
      </c>
      <c r="F664" s="38" t="n">
        <f aca="false">F610+F619+F628+F637+F646+F655</f>
        <v>2258513.147387</v>
      </c>
      <c r="G664" s="38" t="n">
        <f aca="false">G610+G619+G628+G637+G646+G655</f>
        <v>3044234.94265064</v>
      </c>
      <c r="H664" s="3"/>
    </row>
    <row r="665" customFormat="false" ht="15" hidden="false" customHeight="false" outlineLevel="0" collapsed="false">
      <c r="A665" s="3" t="s">
        <v>535</v>
      </c>
      <c r="B665" s="3" t="s">
        <v>62</v>
      </c>
      <c r="C665" s="38" t="n">
        <f aca="false">C611+C620+C629+C638+C647+C656</f>
        <v>117680.25</v>
      </c>
      <c r="D665" s="38" t="n">
        <f aca="false">D611+D620+D629+D638+D647+D656</f>
        <v>400698.716</v>
      </c>
      <c r="E665" s="38" t="n">
        <f aca="false">E611+E620+E629+E638+E647+E656</f>
        <v>571313.93369445</v>
      </c>
      <c r="F665" s="38" t="n">
        <f aca="false">F611+F620+F629+F638+F647+F656</f>
        <v>782512.722371219</v>
      </c>
      <c r="G665" s="38" t="n">
        <f aca="false">G611+G620+G629+G638+G647+G656</f>
        <v>956647.841805094</v>
      </c>
      <c r="H665" s="3"/>
    </row>
    <row r="666" customFormat="false" ht="15" hidden="false" customHeight="false" outlineLevel="0" collapsed="false">
      <c r="A666" s="3" t="s">
        <v>536</v>
      </c>
      <c r="B666" s="3" t="s">
        <v>62</v>
      </c>
      <c r="C666" s="38" t="n">
        <f aca="false">C612+C621+C630+C639+C648+C657</f>
        <v>100347.5</v>
      </c>
      <c r="D666" s="38" t="n">
        <f aca="false">D612+D621+D630+D639+D648+D657</f>
        <v>379034.092093023</v>
      </c>
      <c r="E666" s="38" t="n">
        <f aca="false">E612+E621+E630+E639+E648+E657</f>
        <v>638752.597313588</v>
      </c>
      <c r="F666" s="38" t="n">
        <f aca="false">F612+F621+F630+F639+F648+F657</f>
        <v>988868.112029018</v>
      </c>
      <c r="G666" s="38" t="n">
        <f aca="false">G612+G621+G630+G639+G648+G657</f>
        <v>1321827.25166884</v>
      </c>
      <c r="H666" s="3"/>
    </row>
    <row r="667" customFormat="false" ht="15" hidden="false" customHeight="false" outlineLevel="0" collapsed="false">
      <c r="A667" s="3" t="s">
        <v>527</v>
      </c>
      <c r="B667" s="3" t="s">
        <v>62</v>
      </c>
      <c r="C667" s="38" t="n">
        <f aca="false">C613+C622+C631+C640+C649+C658</f>
        <v>102992.74</v>
      </c>
      <c r="D667" s="38" t="n">
        <f aca="false">D613+D622+D631+D640+D649+D658</f>
        <v>231130.92</v>
      </c>
      <c r="E667" s="38" t="n">
        <f aca="false">E613+E622+E631+E640+E649+E658</f>
        <v>373761.309015</v>
      </c>
      <c r="F667" s="38" t="n">
        <f aca="false">F613+F622+F631+F640+F649+F658</f>
        <v>545147.155552494</v>
      </c>
      <c r="G667" s="38" t="n">
        <f aca="false">G613+G622+G631+G640+G649+G658</f>
        <v>697361.232018807</v>
      </c>
      <c r="H667" s="3"/>
    </row>
    <row r="668" customFormat="false" ht="15" hidden="false" customHeight="false" outlineLevel="0" collapsed="false">
      <c r="A668" s="3" t="s">
        <v>321</v>
      </c>
      <c r="B668" s="3" t="s">
        <v>62</v>
      </c>
      <c r="C668" s="38" t="n">
        <f aca="false">C614+C623+C632+C641+C650+C659</f>
        <v>35304.075</v>
      </c>
      <c r="D668" s="38" t="n">
        <f aca="false">D614+D623+D632+D641+D650+D659</f>
        <v>112717.926</v>
      </c>
      <c r="E668" s="38" t="n">
        <f aca="false">E614+E623+E632+E641+E650+E659</f>
        <v>158980.36287645</v>
      </c>
      <c r="F668" s="38" t="n">
        <f aca="false">F614+F623+F632+F641+F650+F659</f>
        <v>223543.88101078</v>
      </c>
      <c r="G668" s="38" t="n">
        <f aca="false">G614+G623+G632+G641+G650+G659</f>
        <v>279202.789267525</v>
      </c>
      <c r="H668" s="3"/>
    </row>
    <row r="669" customFormat="false" ht="15" hidden="false" customHeight="false" outlineLevel="0" collapsed="false">
      <c r="A669" s="9" t="s">
        <v>537</v>
      </c>
      <c r="B669" s="3" t="s">
        <v>62</v>
      </c>
      <c r="C669" s="29" t="n">
        <f aca="false">C615+C624+C633+C642+C651+C660</f>
        <v>177159.235</v>
      </c>
      <c r="D669" s="29" t="n">
        <f aca="false">D615+D624+D633+D642+D651+D660</f>
        <v>778925.005106977</v>
      </c>
      <c r="E669" s="29" t="n">
        <f aca="false">E615+E624+E633+E642+E651+E660</f>
        <v>1198541.50452019</v>
      </c>
      <c r="F669" s="29" t="n">
        <f aca="false">F615+F624+F633+F642+F651+F660</f>
        <v>1669771.55807319</v>
      </c>
      <c r="G669" s="29" t="n">
        <f aca="false">G615+G624+G633+G642+G651+G660</f>
        <v>1997329.70358973</v>
      </c>
      <c r="H669" s="3"/>
    </row>
    <row r="670" customFormat="false" ht="15" hidden="false" customHeight="false" outlineLevel="0" collapsed="false">
      <c r="A670" s="3" t="s">
        <v>538</v>
      </c>
      <c r="B670" s="3" t="s">
        <v>62</v>
      </c>
      <c r="C670" s="38" t="n">
        <f aca="false">AB543</f>
        <v>10200</v>
      </c>
      <c r="D670" s="38" t="n">
        <f aca="false">AC543</f>
        <v>16800</v>
      </c>
      <c r="E670" s="60" t="n">
        <f aca="false">Assumptions!$E$46*12</f>
        <v>62400</v>
      </c>
      <c r="F670" s="60" t="n">
        <f aca="false">Assumptions!$E$47*12</f>
        <v>109200</v>
      </c>
      <c r="G670" s="60" t="n">
        <f aca="false">Assumptions!$E$48*12</f>
        <v>156000</v>
      </c>
      <c r="H670" s="3" t="s">
        <v>539</v>
      </c>
    </row>
    <row r="671" customFormat="false" ht="15" hidden="false" customHeight="false" outlineLevel="0" collapsed="false">
      <c r="A671" s="3" t="s">
        <v>462</v>
      </c>
      <c r="B671" s="3" t="s">
        <v>62</v>
      </c>
      <c r="C671" s="38" t="n">
        <f aca="false">AB544</f>
        <v>479.88</v>
      </c>
      <c r="D671" s="38" t="n">
        <f aca="false">AC544</f>
        <v>479.88</v>
      </c>
      <c r="E671" s="60" t="n">
        <f aca="false">Assumptions!$E$22*12</f>
        <v>479.88</v>
      </c>
      <c r="F671" s="60" t="n">
        <f aca="false">Assumptions!$E$22*12</f>
        <v>479.88</v>
      </c>
      <c r="G671" s="60" t="n">
        <f aca="false">Assumptions!$E$22*12</f>
        <v>479.88</v>
      </c>
      <c r="H671" s="3"/>
    </row>
    <row r="672" customFormat="false" ht="15" hidden="false" customHeight="false" outlineLevel="0" collapsed="false">
      <c r="A672" s="3" t="s">
        <v>463</v>
      </c>
      <c r="B672" s="3" t="s">
        <v>62</v>
      </c>
      <c r="C672" s="38" t="n">
        <f aca="false">AB545</f>
        <v>9500</v>
      </c>
      <c r="D672" s="38" t="n">
        <f aca="false">AC545</f>
        <v>0</v>
      </c>
      <c r="E672" s="38" t="n">
        <f aca="false">0</f>
        <v>0</v>
      </c>
      <c r="F672" s="38" t="n">
        <f aca="false">0</f>
        <v>0</v>
      </c>
      <c r="G672" s="38" t="n">
        <f aca="false">0</f>
        <v>0</v>
      </c>
      <c r="H672" s="3"/>
    </row>
    <row r="673" customFormat="false" ht="15" hidden="false" customHeight="false" outlineLevel="0" collapsed="false">
      <c r="A673" s="3" t="s">
        <v>540</v>
      </c>
      <c r="B673" s="3" t="s">
        <v>62</v>
      </c>
      <c r="C673" s="38" t="n">
        <f aca="false">AB546</f>
        <v>0</v>
      </c>
      <c r="D673" s="38" t="n">
        <f aca="false">AC546</f>
        <v>2560</v>
      </c>
      <c r="E673" s="60" t="n">
        <f aca="false">Assumptions!$E$94+Assumptions!$E$95+Assumptions!$E$96+Assumptions!$E$97+IF(3=5,Assumptions!$E$98,0)</f>
        <v>2560</v>
      </c>
      <c r="F673" s="60" t="n">
        <f aca="false">Assumptions!$E$94+Assumptions!$E$95+Assumptions!$E$96+Assumptions!$E$97+IF(4=5,Assumptions!$E$98,0)</f>
        <v>2560</v>
      </c>
      <c r="G673" s="60" t="n">
        <f aca="false">Assumptions!$E$94+Assumptions!$E$95+Assumptions!$E$96+Assumptions!$E$97+IF(5=5,Assumptions!$E$98,0)</f>
        <v>2560</v>
      </c>
      <c r="H673" s="3" t="s">
        <v>541</v>
      </c>
    </row>
    <row r="674" customFormat="false" ht="15" hidden="false" customHeight="false" outlineLevel="0" collapsed="false">
      <c r="A674" s="9" t="s">
        <v>542</v>
      </c>
      <c r="B674" s="3" t="s">
        <v>62</v>
      </c>
      <c r="C674" s="29" t="n">
        <f aca="false">C669-C670-C671-C672-C673</f>
        <v>156979.355</v>
      </c>
      <c r="D674" s="29" t="n">
        <f aca="false">D669-D670-D671-D672-D673</f>
        <v>759085.125106977</v>
      </c>
      <c r="E674" s="29" t="n">
        <f aca="false">E669-E670-E671-E672-E673</f>
        <v>1133101.62452019</v>
      </c>
      <c r="F674" s="29" t="n">
        <f aca="false">F669-F670-F671-F672-F673</f>
        <v>1557531.67807319</v>
      </c>
      <c r="G674" s="29" t="n">
        <f aca="false">G669-G670-G671-G672-G673</f>
        <v>1838289.82358973</v>
      </c>
      <c r="H674" s="3"/>
    </row>
    <row r="675" customFormat="false" ht="15" hidden="false" customHeight="false" outlineLevel="0" collapsed="false">
      <c r="A675" s="9" t="s">
        <v>467</v>
      </c>
      <c r="B675" s="3" t="s">
        <v>66</v>
      </c>
      <c r="C675" s="19" t="n">
        <f aca="false">IF(C663=0,0,C674/C663)</f>
        <v>0.200092226605569</v>
      </c>
      <c r="D675" s="19" t="n">
        <f aca="false">IF(D663=0,0,D674/D663)</f>
        <v>0.267165603229933</v>
      </c>
      <c r="E675" s="19" t="n">
        <f aca="false">IF(E663=0,0,E674/E663)</f>
        <v>0.256562479957864</v>
      </c>
      <c r="F675" s="19" t="n">
        <f aca="false">IF(F663=0,0,F674/F663)</f>
        <v>0.240792488736658</v>
      </c>
      <c r="G675" s="19" t="n">
        <f aca="false">IF(G663=0,0,G674/G663)</f>
        <v>0.221571365409889</v>
      </c>
      <c r="H675" s="3"/>
    </row>
    <row r="676" customFormat="false" ht="15" hidden="false" customHeight="false" outlineLevel="0" collapsed="false">
      <c r="A676" s="3" t="s">
        <v>543</v>
      </c>
      <c r="B676" s="3" t="s">
        <v>62</v>
      </c>
      <c r="C676" s="38" t="n">
        <f aca="false">C674</f>
        <v>156979.355</v>
      </c>
      <c r="D676" s="38" t="n">
        <f aca="false">C676+D674</f>
        <v>916064.480106977</v>
      </c>
      <c r="E676" s="38" t="n">
        <f aca="false">D676+E674</f>
        <v>2049166.10462716</v>
      </c>
      <c r="F676" s="38" t="n">
        <f aca="false">E676+F674</f>
        <v>3606697.78270036</v>
      </c>
      <c r="G676" s="38" t="n">
        <f aca="false">F676+G674</f>
        <v>5444987.60629008</v>
      </c>
      <c r="H676" s="3"/>
    </row>
    <row r="677" customFormat="false" ht="15" hidden="false" customHeight="false" outlineLevel="0" collapsed="false">
      <c r="A677" s="3" t="s">
        <v>544</v>
      </c>
      <c r="B677" s="3" t="s">
        <v>66</v>
      </c>
      <c r="C677" s="34" t="n">
        <f aca="false">IF(C609=0,0,C615/C609)</f>
        <v>0.225814316760884</v>
      </c>
      <c r="D677" s="34" t="n">
        <f aca="false">IF(D609=0,0,D615/D609)</f>
        <v>0.274939353049832</v>
      </c>
      <c r="E677" s="34" t="n">
        <f aca="false">IF(E609=0,0,E615/E609)</f>
        <v>0.274181251498442</v>
      </c>
      <c r="F677" s="34" t="n">
        <f aca="false">IF(F609=0,0,F615/F609)</f>
        <v>0.260780091797314</v>
      </c>
      <c r="G677" s="34" t="n">
        <f aca="false">IF(G609=0,0,G615/G609)</f>
        <v>0.241859272733231</v>
      </c>
      <c r="H677" s="3"/>
    </row>
    <row r="679" customFormat="false" ht="15" hidden="false" customHeight="false" outlineLevel="0" collapsed="false">
      <c r="A679" s="9" t="s">
        <v>545</v>
      </c>
    </row>
    <row r="680" customFormat="false" ht="15" hidden="false" customHeight="false" outlineLevel="0" collapsed="false">
      <c r="A680" s="3" t="s">
        <v>546</v>
      </c>
      <c r="C680" s="38" t="n">
        <f aca="false">C663-AB580</f>
        <v>0</v>
      </c>
      <c r="D680" s="38" t="n">
        <f aca="false">D663-AC580</f>
        <v>0</v>
      </c>
    </row>
    <row r="681" customFormat="false" ht="15" hidden="false" customHeight="false" outlineLevel="0" collapsed="false">
      <c r="A681" s="3" t="s">
        <v>547</v>
      </c>
      <c r="C681" s="38" t="n">
        <f aca="false">C674-AB581</f>
        <v>0</v>
      </c>
      <c r="D681" s="38" t="n">
        <f aca="false">D674-AC581</f>
        <v>0</v>
      </c>
    </row>
    <row r="683" customFormat="false" ht="15" hidden="false" customHeight="false" outlineLevel="0" collapsed="false">
      <c r="A683" s="5" t="s">
        <v>864</v>
      </c>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row>
    <row r="684" customFormat="false" ht="39.75" hidden="false" customHeight="true" outlineLevel="0" collapsed="false">
      <c r="A684" s="14" t="s">
        <v>444</v>
      </c>
      <c r="B684" s="14" t="s">
        <v>53</v>
      </c>
      <c r="C684" s="14" t="s">
        <v>445</v>
      </c>
      <c r="D684" s="14" t="s">
        <v>232</v>
      </c>
      <c r="E684" s="14" t="s">
        <v>234</v>
      </c>
      <c r="F684" s="14" t="s">
        <v>235</v>
      </c>
      <c r="G684" s="14" t="s">
        <v>236</v>
      </c>
      <c r="H684" s="14" t="s">
        <v>237</v>
      </c>
      <c r="I684" s="14" t="s">
        <v>238</v>
      </c>
      <c r="J684" s="14" t="s">
        <v>239</v>
      </c>
      <c r="K684" s="14" t="s">
        <v>240</v>
      </c>
      <c r="L684" s="14" t="s">
        <v>241</v>
      </c>
      <c r="M684" s="14" t="s">
        <v>242</v>
      </c>
      <c r="N684" s="14" t="s">
        <v>243</v>
      </c>
      <c r="O684" s="14" t="s">
        <v>244</v>
      </c>
      <c r="P684" s="14" t="s">
        <v>245</v>
      </c>
      <c r="Q684" s="14" t="s">
        <v>246</v>
      </c>
      <c r="R684" s="14" t="s">
        <v>247</v>
      </c>
      <c r="S684" s="14" t="s">
        <v>248</v>
      </c>
      <c r="T684" s="14" t="s">
        <v>249</v>
      </c>
      <c r="U684" s="14" t="s">
        <v>250</v>
      </c>
      <c r="V684" s="14" t="s">
        <v>251</v>
      </c>
      <c r="W684" s="14" t="s">
        <v>253</v>
      </c>
      <c r="X684" s="14" t="s">
        <v>254</v>
      </c>
      <c r="Y684" s="14" t="s">
        <v>255</v>
      </c>
      <c r="Z684" s="14" t="s">
        <v>256</v>
      </c>
      <c r="AA684" s="14" t="s">
        <v>257</v>
      </c>
      <c r="AB684" s="39" t="s">
        <v>549</v>
      </c>
      <c r="AC684" s="39" t="s">
        <v>550</v>
      </c>
      <c r="AD684" s="39" t="s">
        <v>551</v>
      </c>
      <c r="AE684" s="39" t="s">
        <v>552</v>
      </c>
      <c r="AF684" s="39" t="s">
        <v>553</v>
      </c>
      <c r="AG684" s="39" t="s">
        <v>554</v>
      </c>
    </row>
    <row r="685" customFormat="false" ht="15" hidden="false" customHeight="false" outlineLevel="0" collapsed="false">
      <c r="A685" s="3" t="s">
        <v>448</v>
      </c>
      <c r="C685" s="30" t="n">
        <v>0</v>
      </c>
      <c r="D685" s="30" t="n">
        <v>1</v>
      </c>
      <c r="E685" s="30" t="n">
        <v>2</v>
      </c>
      <c r="F685" s="30" t="n">
        <v>3</v>
      </c>
      <c r="G685" s="30" t="n">
        <v>4</v>
      </c>
      <c r="H685" s="30" t="n">
        <v>5</v>
      </c>
      <c r="I685" s="30" t="n">
        <v>6</v>
      </c>
      <c r="J685" s="30" t="n">
        <v>7</v>
      </c>
      <c r="K685" s="30" t="n">
        <v>8</v>
      </c>
      <c r="L685" s="30" t="n">
        <v>9</v>
      </c>
      <c r="M685" s="30" t="n">
        <v>10</v>
      </c>
      <c r="N685" s="30" t="n">
        <v>11</v>
      </c>
      <c r="O685" s="30" t="n">
        <v>12</v>
      </c>
      <c r="P685" s="30" t="n">
        <v>13</v>
      </c>
      <c r="Q685" s="30" t="n">
        <v>14</v>
      </c>
      <c r="R685" s="30" t="n">
        <v>15</v>
      </c>
      <c r="S685" s="30" t="n">
        <v>16</v>
      </c>
      <c r="T685" s="30" t="n">
        <v>17</v>
      </c>
      <c r="U685" s="30" t="n">
        <v>18</v>
      </c>
      <c r="V685" s="30" t="n">
        <v>19</v>
      </c>
      <c r="W685" s="30" t="n">
        <v>20</v>
      </c>
      <c r="X685" s="30" t="n">
        <v>21</v>
      </c>
      <c r="Y685" s="30" t="n">
        <v>22</v>
      </c>
      <c r="Z685" s="30" t="n">
        <v>23</v>
      </c>
      <c r="AA685" s="30" t="n">
        <v>24</v>
      </c>
      <c r="AB685" s="30" t="n">
        <v>25</v>
      </c>
      <c r="AC685" s="30" t="n">
        <v>26</v>
      </c>
      <c r="AD685" s="30" t="n">
        <v>27</v>
      </c>
      <c r="AE685" s="30" t="n">
        <v>28</v>
      </c>
      <c r="AF685" s="30" t="n">
        <v>29</v>
      </c>
      <c r="AG685" s="30" t="n">
        <v>30</v>
      </c>
    </row>
    <row r="686" customFormat="false" ht="15" hidden="false" customHeight="false" outlineLevel="0" collapsed="false">
      <c r="A686" s="9" t="s">
        <v>555</v>
      </c>
    </row>
    <row r="687" customFormat="false" ht="15" hidden="false" customHeight="false" outlineLevel="0" collapsed="false">
      <c r="A687" s="3" t="s">
        <v>556</v>
      </c>
      <c r="B687" s="3" t="s">
        <v>95</v>
      </c>
      <c r="C687" s="31" t="n">
        <f aca="false">0</f>
        <v>0</v>
      </c>
      <c r="D687" s="31" t="n">
        <f aca="false">D533+D563+D571</f>
        <v>233</v>
      </c>
      <c r="E687" s="31" t="n">
        <f aca="false">E533+E563+E571</f>
        <v>372</v>
      </c>
      <c r="F687" s="31" t="n">
        <f aca="false">F533+F563+F571</f>
        <v>558</v>
      </c>
      <c r="G687" s="31" t="n">
        <f aca="false">G533+G563+G571</f>
        <v>775</v>
      </c>
      <c r="H687" s="31" t="n">
        <f aca="false">H533+H563+H571</f>
        <v>1008</v>
      </c>
      <c r="I687" s="31" t="n">
        <f aca="false">I533+I563+I571</f>
        <v>1271</v>
      </c>
      <c r="J687" s="31" t="n">
        <f aca="false">J533+J563+J571</f>
        <v>1550</v>
      </c>
      <c r="K687" s="31" t="n">
        <f aca="false">K533+K563+K571</f>
        <v>1860</v>
      </c>
      <c r="L687" s="31" t="n">
        <f aca="false">L533+L563+L571</f>
        <v>2170</v>
      </c>
      <c r="M687" s="31" t="n">
        <f aca="false">M533+M563+M571</f>
        <v>2480</v>
      </c>
      <c r="N687" s="31" t="n">
        <f aca="false">N533+N563+N571</f>
        <v>2790</v>
      </c>
      <c r="O687" s="31" t="n">
        <f aca="false">O533+O563+O571</f>
        <v>3178</v>
      </c>
      <c r="P687" s="31" t="n">
        <f aca="false">P533+P563+P571</f>
        <v>4464.71441860465</v>
      </c>
      <c r="Q687" s="31" t="n">
        <f aca="false">Q533+Q563+Q571</f>
        <v>4799.51441860465</v>
      </c>
      <c r="R687" s="31" t="n">
        <f aca="false">R533+R563+R571</f>
        <v>5050.07441860465</v>
      </c>
      <c r="S687" s="31" t="n">
        <f aca="false">S533+S563+S571</f>
        <v>5301.71441860465</v>
      </c>
      <c r="T687" s="31" t="n">
        <f aca="false">T533+T563+T571</f>
        <v>5552.27441860465</v>
      </c>
      <c r="U687" s="31" t="n">
        <f aca="false">U533+U563+U571</f>
        <v>5803.91441860465</v>
      </c>
      <c r="V687" s="31" t="n">
        <f aca="false">V533+V563+V571</f>
        <v>5976.71441860465</v>
      </c>
      <c r="W687" s="31" t="n">
        <f aca="false">W533+W563+W571</f>
        <v>6149.51441860465</v>
      </c>
      <c r="X687" s="31" t="n">
        <f aca="false">X533+X563+X571</f>
        <v>6322.31441860465</v>
      </c>
      <c r="Y687" s="31" t="n">
        <f aca="false">Y533+Y563+Y571</f>
        <v>6495.11441860465</v>
      </c>
      <c r="Z687" s="31" t="n">
        <f aca="false">Z533+Z563+Z571</f>
        <v>6667.91441860465</v>
      </c>
      <c r="AA687" s="31" t="n">
        <f aca="false">AA533+AA563+AA571</f>
        <v>6840.71441860465</v>
      </c>
      <c r="AB687" s="62" t="n">
        <f aca="false">$AA687*(1+Assumptions!$E$37)</f>
        <v>9234.96446511628</v>
      </c>
      <c r="AC687" s="62" t="n">
        <f aca="false">$AA687*(1+Assumptions!$E$37)</f>
        <v>9234.96446511628</v>
      </c>
      <c r="AD687" s="62" t="n">
        <f aca="false">$AA687*(1+Assumptions!$E$37)</f>
        <v>9234.96446511628</v>
      </c>
      <c r="AE687" s="62" t="n">
        <f aca="false">$AA687*(1+Assumptions!$E$37)</f>
        <v>9234.96446511628</v>
      </c>
      <c r="AF687" s="62" t="n">
        <f aca="false">$AA687*(1+Assumptions!$E$37)</f>
        <v>9234.96446511628</v>
      </c>
      <c r="AG687" s="62" t="n">
        <f aca="false">$AA687*(1+Assumptions!$E$37)</f>
        <v>9234.96446511628</v>
      </c>
    </row>
    <row r="688" customFormat="false" ht="15" hidden="false" customHeight="false" outlineLevel="0" collapsed="false">
      <c r="A688" s="3" t="s">
        <v>557</v>
      </c>
      <c r="B688" s="3" t="s">
        <v>454</v>
      </c>
      <c r="D688" s="40" t="n">
        <f aca="false">D556*D534</f>
        <v>13.76</v>
      </c>
      <c r="E688" s="40" t="n">
        <f aca="false">E556*E534</f>
        <v>13.76</v>
      </c>
      <c r="F688" s="40" t="n">
        <f aca="false">F556*F534</f>
        <v>13.76</v>
      </c>
      <c r="G688" s="40" t="n">
        <f aca="false">G556*G534</f>
        <v>13.76</v>
      </c>
      <c r="H688" s="40" t="n">
        <f aca="false">H556*H534</f>
        <v>13.76</v>
      </c>
      <c r="I688" s="40" t="n">
        <f aca="false">I556*I534</f>
        <v>13.76</v>
      </c>
      <c r="J688" s="40" t="n">
        <f aca="false">J556*J534</f>
        <v>13.76</v>
      </c>
      <c r="K688" s="40" t="n">
        <f aca="false">K556*K534</f>
        <v>13.76</v>
      </c>
      <c r="L688" s="40" t="n">
        <f aca="false">L556*L534</f>
        <v>13.76</v>
      </c>
      <c r="M688" s="40" t="n">
        <f aca="false">M556*M534</f>
        <v>13.76</v>
      </c>
      <c r="N688" s="40" t="n">
        <f aca="false">N556*N534</f>
        <v>13.76</v>
      </c>
      <c r="O688" s="40" t="n">
        <f aca="false">O556*O534</f>
        <v>13.76</v>
      </c>
      <c r="P688" s="40" t="n">
        <f aca="false">P556*P534</f>
        <v>13.76</v>
      </c>
      <c r="Q688" s="40" t="n">
        <f aca="false">Q556*Q534</f>
        <v>13.76</v>
      </c>
      <c r="R688" s="40" t="n">
        <f aca="false">R556*R534</f>
        <v>13.76</v>
      </c>
      <c r="S688" s="40" t="n">
        <f aca="false">S556*S534</f>
        <v>13.76</v>
      </c>
      <c r="T688" s="40" t="n">
        <f aca="false">T556*T534</f>
        <v>13.76</v>
      </c>
      <c r="U688" s="40" t="n">
        <f aca="false">U556*U534</f>
        <v>13.76</v>
      </c>
      <c r="V688" s="40" t="n">
        <f aca="false">V556*V534</f>
        <v>13.33</v>
      </c>
      <c r="W688" s="40" t="n">
        <f aca="false">W556*W534</f>
        <v>13.33</v>
      </c>
      <c r="X688" s="40" t="n">
        <f aca="false">X556*X534</f>
        <v>13.33</v>
      </c>
      <c r="Y688" s="40" t="n">
        <f aca="false">Y556*Y534</f>
        <v>13.33</v>
      </c>
      <c r="Z688" s="40" t="n">
        <f aca="false">Z556*Z534</f>
        <v>13.33</v>
      </c>
      <c r="AA688" s="40" t="n">
        <f aca="false">AA556*AA534</f>
        <v>13.33</v>
      </c>
      <c r="AB688" s="40" t="n">
        <f aca="false">$AA688</f>
        <v>13.33</v>
      </c>
      <c r="AC688" s="40" t="n">
        <f aca="false">$AA688</f>
        <v>13.33</v>
      </c>
      <c r="AD688" s="40" t="n">
        <f aca="false">$AA688</f>
        <v>13.33</v>
      </c>
      <c r="AE688" s="40" t="n">
        <f aca="false">$AA688</f>
        <v>13.33</v>
      </c>
      <c r="AF688" s="40" t="n">
        <f aca="false">$AA688</f>
        <v>13.33</v>
      </c>
      <c r="AG688" s="40" t="n">
        <f aca="false">$AA688</f>
        <v>13.33</v>
      </c>
    </row>
    <row r="689" customFormat="false" ht="15" hidden="false" customHeight="false" outlineLevel="0" collapsed="false">
      <c r="A689" s="3" t="s">
        <v>558</v>
      </c>
      <c r="B689" s="3" t="s">
        <v>454</v>
      </c>
      <c r="D689" s="40" t="n">
        <f aca="false">HeroFobUsd</f>
        <v>7.3793006993007</v>
      </c>
      <c r="E689" s="40" t="n">
        <f aca="false">HeroFobUsd</f>
        <v>7.3793006993007</v>
      </c>
      <c r="F689" s="40" t="n">
        <f aca="false">HeroFobUsd</f>
        <v>7.3793006993007</v>
      </c>
      <c r="G689" s="40" t="n">
        <f aca="false">HeroFobUsd</f>
        <v>7.3793006993007</v>
      </c>
      <c r="H689" s="40" t="n">
        <f aca="false">HeroFobUsd</f>
        <v>7.3793006993007</v>
      </c>
      <c r="I689" s="40" t="n">
        <f aca="false">HeroFobUsd</f>
        <v>7.3793006993007</v>
      </c>
      <c r="J689" s="40" t="n">
        <f aca="false">HeroFobUsd</f>
        <v>7.3793006993007</v>
      </c>
      <c r="K689" s="40" t="n">
        <f aca="false">HeroFobUsd</f>
        <v>7.3793006993007</v>
      </c>
      <c r="L689" s="40" t="n">
        <f aca="false">HeroFobUsd</f>
        <v>7.3793006993007</v>
      </c>
      <c r="M689" s="40" t="n">
        <f aca="false">HeroFobUsd</f>
        <v>7.3793006993007</v>
      </c>
      <c r="N689" s="40" t="n">
        <f aca="false">HeroFobUsd</f>
        <v>7.3793006993007</v>
      </c>
      <c r="O689" s="40" t="n">
        <f aca="false">HeroFobUsd</f>
        <v>7.3793006993007</v>
      </c>
      <c r="P689" s="40" t="n">
        <f aca="false">HeroFobUsd</f>
        <v>7.3793006993007</v>
      </c>
      <c r="Q689" s="40" t="n">
        <f aca="false">HeroFobUsd</f>
        <v>7.3793006993007</v>
      </c>
      <c r="R689" s="40" t="n">
        <f aca="false">HeroFobUsd</f>
        <v>7.3793006993007</v>
      </c>
      <c r="S689" s="40" t="n">
        <f aca="false">HeroFobUsd</f>
        <v>7.3793006993007</v>
      </c>
      <c r="T689" s="40" t="n">
        <f aca="false">HeroFobUsd</f>
        <v>7.3793006993007</v>
      </c>
      <c r="U689" s="40" t="n">
        <f aca="false">HeroFobUsd</f>
        <v>7.3793006993007</v>
      </c>
      <c r="V689" s="40" t="n">
        <f aca="false">HeroFobUsd</f>
        <v>7.3793006993007</v>
      </c>
      <c r="W689" s="40" t="n">
        <f aca="false">HeroFobUsd</f>
        <v>7.3793006993007</v>
      </c>
      <c r="X689" s="40" t="n">
        <f aca="false">HeroFobUsd</f>
        <v>7.3793006993007</v>
      </c>
      <c r="Y689" s="40" t="n">
        <f aca="false">HeroFobUsd</f>
        <v>7.3793006993007</v>
      </c>
      <c r="Z689" s="40" t="n">
        <f aca="false">HeroFobUsd</f>
        <v>7.3793006993007</v>
      </c>
      <c r="AA689" s="40" t="n">
        <f aca="false">HeroFobUsd</f>
        <v>7.3793006993007</v>
      </c>
      <c r="AB689" s="40" t="n">
        <f aca="false">HeroFobUsd</f>
        <v>7.3793006993007</v>
      </c>
      <c r="AC689" s="40" t="n">
        <f aca="false">HeroFobUsd</f>
        <v>7.3793006993007</v>
      </c>
      <c r="AD689" s="40" t="n">
        <f aca="false">HeroFobUsd</f>
        <v>7.3793006993007</v>
      </c>
      <c r="AE689" s="40" t="n">
        <f aca="false">HeroFobUsd</f>
        <v>7.3793006993007</v>
      </c>
      <c r="AF689" s="40" t="n">
        <f aca="false">HeroFobUsd</f>
        <v>7.3793006993007</v>
      </c>
      <c r="AG689" s="40" t="n">
        <f aca="false">HeroFobUsd</f>
        <v>7.3793006993007</v>
      </c>
    </row>
    <row r="690" customFormat="false" ht="15" hidden="false" customHeight="false" outlineLevel="0" collapsed="false">
      <c r="A690" s="3" t="s">
        <v>559</v>
      </c>
      <c r="B690" s="3" t="s">
        <v>454</v>
      </c>
      <c r="D690" s="40" t="n">
        <f aca="false">D688-D689</f>
        <v>6.3806993006993</v>
      </c>
      <c r="E690" s="40" t="n">
        <f aca="false">E688-E689</f>
        <v>6.3806993006993</v>
      </c>
      <c r="F690" s="40" t="n">
        <f aca="false">F688-F689</f>
        <v>6.3806993006993</v>
      </c>
      <c r="G690" s="40" t="n">
        <f aca="false">G688-G689</f>
        <v>6.3806993006993</v>
      </c>
      <c r="H690" s="40" t="n">
        <f aca="false">H688-H689</f>
        <v>6.3806993006993</v>
      </c>
      <c r="I690" s="40" t="n">
        <f aca="false">I688-I689</f>
        <v>6.3806993006993</v>
      </c>
      <c r="J690" s="40" t="n">
        <f aca="false">J688-J689</f>
        <v>6.3806993006993</v>
      </c>
      <c r="K690" s="40" t="n">
        <f aca="false">K688-K689</f>
        <v>6.3806993006993</v>
      </c>
      <c r="L690" s="40" t="n">
        <f aca="false">L688-L689</f>
        <v>6.3806993006993</v>
      </c>
      <c r="M690" s="40" t="n">
        <f aca="false">M688-M689</f>
        <v>6.3806993006993</v>
      </c>
      <c r="N690" s="40" t="n">
        <f aca="false">N688-N689</f>
        <v>6.3806993006993</v>
      </c>
      <c r="O690" s="40" t="n">
        <f aca="false">O688-O689</f>
        <v>6.3806993006993</v>
      </c>
      <c r="P690" s="40" t="n">
        <f aca="false">P688-P689</f>
        <v>6.3806993006993</v>
      </c>
      <c r="Q690" s="40" t="n">
        <f aca="false">Q688-Q689</f>
        <v>6.3806993006993</v>
      </c>
      <c r="R690" s="40" t="n">
        <f aca="false">R688-R689</f>
        <v>6.3806993006993</v>
      </c>
      <c r="S690" s="40" t="n">
        <f aca="false">S688-S689</f>
        <v>6.3806993006993</v>
      </c>
      <c r="T690" s="40" t="n">
        <f aca="false">T688-T689</f>
        <v>6.3806993006993</v>
      </c>
      <c r="U690" s="40" t="n">
        <f aca="false">U688-U689</f>
        <v>6.3806993006993</v>
      </c>
      <c r="V690" s="40" t="n">
        <f aca="false">V688-V689</f>
        <v>5.9506993006993</v>
      </c>
      <c r="W690" s="40" t="n">
        <f aca="false">W688-W689</f>
        <v>5.9506993006993</v>
      </c>
      <c r="X690" s="40" t="n">
        <f aca="false">X688-X689</f>
        <v>5.9506993006993</v>
      </c>
      <c r="Y690" s="40" t="n">
        <f aca="false">Y688-Y689</f>
        <v>5.9506993006993</v>
      </c>
      <c r="Z690" s="40" t="n">
        <f aca="false">Z688-Z689</f>
        <v>5.9506993006993</v>
      </c>
      <c r="AA690" s="40" t="n">
        <f aca="false">AA688-AA689</f>
        <v>5.9506993006993</v>
      </c>
      <c r="AB690" s="40" t="n">
        <f aca="false">AB688-AB689</f>
        <v>5.9506993006993</v>
      </c>
      <c r="AC690" s="40" t="n">
        <f aca="false">AC688-AC689</f>
        <v>5.9506993006993</v>
      </c>
      <c r="AD690" s="40" t="n">
        <f aca="false">AD688-AD689</f>
        <v>5.9506993006993</v>
      </c>
      <c r="AE690" s="40" t="n">
        <f aca="false">AE688-AE689</f>
        <v>5.9506993006993</v>
      </c>
      <c r="AF690" s="40" t="n">
        <f aca="false">AF688-AF689</f>
        <v>5.9506993006993</v>
      </c>
      <c r="AG690" s="40" t="n">
        <f aca="false">AG688-AG689</f>
        <v>5.9506993006993</v>
      </c>
    </row>
    <row r="691" customFormat="false" ht="15" hidden="false" customHeight="false" outlineLevel="0" collapsed="false">
      <c r="A691" s="3" t="s">
        <v>560</v>
      </c>
      <c r="B691" s="3" t="s">
        <v>95</v>
      </c>
      <c r="D691" s="62" t="n">
        <f aca="false">Assumptions!$E$101*AVERAGE(E687:G687)</f>
        <v>1136.66666666667</v>
      </c>
      <c r="E691" s="62" t="n">
        <f aca="false">Assumptions!$E$101*AVERAGE(F687:H687)</f>
        <v>1560.66666666667</v>
      </c>
      <c r="F691" s="62" t="n">
        <f aca="false">Assumptions!$E$101*AVERAGE(G687:I687)</f>
        <v>2036</v>
      </c>
      <c r="G691" s="62" t="n">
        <f aca="false">Assumptions!$E$101*AVERAGE(H687:J687)</f>
        <v>2552.66666666667</v>
      </c>
      <c r="H691" s="62" t="n">
        <f aca="false">Assumptions!$E$101*AVERAGE(I687:K687)</f>
        <v>3120.66666666667</v>
      </c>
      <c r="I691" s="62" t="n">
        <f aca="false">Assumptions!$E$101*AVERAGE(J687:L687)</f>
        <v>3720</v>
      </c>
      <c r="J691" s="62" t="n">
        <f aca="false">Assumptions!$E$101*AVERAGE(K687:M687)</f>
        <v>4340</v>
      </c>
      <c r="K691" s="62" t="n">
        <f aca="false">Assumptions!$E$101*AVERAGE(L687:N687)</f>
        <v>4960</v>
      </c>
      <c r="L691" s="62" t="n">
        <f aca="false">Assumptions!$E$101*AVERAGE(M687:O687)</f>
        <v>5632</v>
      </c>
      <c r="M691" s="62" t="n">
        <f aca="false">Assumptions!$E$101*AVERAGE(N687:P687)</f>
        <v>6955.14294573643</v>
      </c>
      <c r="N691" s="62" t="n">
        <f aca="false">Assumptions!$E$101*AVERAGE(O687:Q687)</f>
        <v>8294.8192248062</v>
      </c>
      <c r="O691" s="62" t="n">
        <f aca="false">Assumptions!$E$101*AVERAGE(P687:R687)</f>
        <v>9542.8688372093</v>
      </c>
      <c r="P691" s="62" t="n">
        <f aca="false">Assumptions!$E$101*AVERAGE(Q687:S687)</f>
        <v>10100.8688372093</v>
      </c>
      <c r="Q691" s="62" t="n">
        <f aca="false">Assumptions!$E$101*AVERAGE(R687:T687)</f>
        <v>10602.7088372093</v>
      </c>
      <c r="R691" s="62" t="n">
        <f aca="false">Assumptions!$E$101*AVERAGE(S687:U687)</f>
        <v>11105.2688372093</v>
      </c>
      <c r="S691" s="62" t="n">
        <f aca="false">Assumptions!$E$101*AVERAGE(T687:V687)</f>
        <v>11555.2688372093</v>
      </c>
      <c r="T691" s="62" t="n">
        <f aca="false">Assumptions!$E$101*AVERAGE(U687:W687)</f>
        <v>11953.4288372093</v>
      </c>
      <c r="U691" s="62" t="n">
        <f aca="false">Assumptions!$E$101*AVERAGE(V687:X687)</f>
        <v>12299.0288372093</v>
      </c>
      <c r="V691" s="62" t="n">
        <f aca="false">Assumptions!$E$101*AVERAGE(W687:Y687)</f>
        <v>12644.6288372093</v>
      </c>
      <c r="W691" s="62" t="n">
        <f aca="false">Assumptions!$E$101*AVERAGE(X687:Z687)</f>
        <v>12990.2288372093</v>
      </c>
      <c r="X691" s="62" t="n">
        <f aca="false">Assumptions!$E$101*AVERAGE(Y687:AA687)</f>
        <v>13335.8288372093</v>
      </c>
      <c r="Y691" s="62" t="n">
        <f aca="false">Assumptions!$E$101*AVERAGE(Z687:AB687)</f>
        <v>15162.3955348837</v>
      </c>
      <c r="Z691" s="62" t="n">
        <f aca="false">Assumptions!$E$101*AVERAGE(AA687:AC687)</f>
        <v>16873.7622325581</v>
      </c>
      <c r="AA691" s="62" t="n">
        <f aca="false">Assumptions!$E$101*AVERAGE(AB687:AD687)</f>
        <v>18469.9289302326</v>
      </c>
      <c r="AB691" s="62" t="n">
        <f aca="false">Assumptions!$E$101*AVERAGE(AC687:AE687)</f>
        <v>18469.9289302326</v>
      </c>
      <c r="AC691" s="62" t="n">
        <f aca="false">Assumptions!$E$101*AVERAGE(AD687:AF687)</f>
        <v>18469.9289302326</v>
      </c>
    </row>
    <row r="692" customFormat="false" ht="15" hidden="false" customHeight="false" outlineLevel="0" collapsed="false">
      <c r="A692" s="3" t="s">
        <v>561</v>
      </c>
      <c r="B692" s="3" t="s">
        <v>95</v>
      </c>
      <c r="D692" s="31" t="n">
        <f aca="false">0</f>
        <v>0</v>
      </c>
      <c r="E692" s="31" t="n">
        <f aca="false">D694</f>
        <v>1136.66666666667</v>
      </c>
      <c r="F692" s="31" t="n">
        <f aca="false">E694</f>
        <v>1560.66666666667</v>
      </c>
      <c r="G692" s="31" t="n">
        <f aca="false">F694</f>
        <v>2036</v>
      </c>
      <c r="H692" s="31" t="n">
        <f aca="false">G694</f>
        <v>2552.66666666667</v>
      </c>
      <c r="I692" s="31" t="n">
        <f aca="false">H694</f>
        <v>3120.66666666667</v>
      </c>
      <c r="J692" s="31" t="n">
        <f aca="false">I694</f>
        <v>3720</v>
      </c>
      <c r="K692" s="31" t="n">
        <f aca="false">J694</f>
        <v>4340</v>
      </c>
      <c r="L692" s="31" t="n">
        <f aca="false">K694</f>
        <v>4960</v>
      </c>
      <c r="M692" s="31" t="n">
        <f aca="false">L694</f>
        <v>5632</v>
      </c>
      <c r="N692" s="31" t="n">
        <f aca="false">M694</f>
        <v>6955.14294573643</v>
      </c>
      <c r="O692" s="31" t="n">
        <f aca="false">N694</f>
        <v>8294.8192248062</v>
      </c>
      <c r="P692" s="31" t="n">
        <f aca="false">O694</f>
        <v>9542.8688372093</v>
      </c>
      <c r="Q692" s="31" t="n">
        <f aca="false">P694</f>
        <v>10100.8688372093</v>
      </c>
      <c r="R692" s="31" t="n">
        <f aca="false">Q694</f>
        <v>10602.7088372093</v>
      </c>
      <c r="S692" s="31" t="n">
        <f aca="false">R694</f>
        <v>11105.2688372093</v>
      </c>
      <c r="T692" s="31" t="n">
        <f aca="false">S694</f>
        <v>11555.2688372093</v>
      </c>
      <c r="U692" s="31" t="n">
        <f aca="false">T694</f>
        <v>11953.4288372093</v>
      </c>
      <c r="V692" s="31" t="n">
        <f aca="false">U694</f>
        <v>12299.0288372093</v>
      </c>
      <c r="W692" s="31" t="n">
        <f aca="false">V694</f>
        <v>12644.6288372093</v>
      </c>
      <c r="X692" s="31" t="n">
        <f aca="false">W694</f>
        <v>12990.2288372093</v>
      </c>
      <c r="Y692" s="31" t="n">
        <f aca="false">X694</f>
        <v>13335.8288372093</v>
      </c>
      <c r="Z692" s="31" t="n">
        <f aca="false">Y694</f>
        <v>15162.3955348837</v>
      </c>
      <c r="AA692" s="31" t="n">
        <f aca="false">Z694</f>
        <v>16873.7622325581</v>
      </c>
      <c r="AB692" s="31" t="n">
        <f aca="false">AA694</f>
        <v>18469.9289302326</v>
      </c>
      <c r="AC692" s="31" t="n">
        <f aca="false">AB694</f>
        <v>18469.9289302326</v>
      </c>
    </row>
    <row r="693" customFormat="false" ht="15" hidden="false" customHeight="false" outlineLevel="0" collapsed="false">
      <c r="A693" s="9" t="s">
        <v>562</v>
      </c>
      <c r="B693" s="3" t="s">
        <v>95</v>
      </c>
      <c r="D693" s="24" t="n">
        <f aca="false">MAX(0,D691-(D692-D687))</f>
        <v>1369.66666666667</v>
      </c>
      <c r="E693" s="24" t="n">
        <f aca="false">MAX(0,E691-(E692-E687))</f>
        <v>796</v>
      </c>
      <c r="F693" s="24" t="n">
        <f aca="false">MAX(0,F691-(F692-F687))</f>
        <v>1033.33333333333</v>
      </c>
      <c r="G693" s="24" t="n">
        <f aca="false">MAX(0,G691-(G692-G687))</f>
        <v>1291.66666666667</v>
      </c>
      <c r="H693" s="24" t="n">
        <f aca="false">MAX(0,H691-(H692-H687))</f>
        <v>1576</v>
      </c>
      <c r="I693" s="24" t="n">
        <f aca="false">MAX(0,I691-(I692-I687))</f>
        <v>1870.33333333333</v>
      </c>
      <c r="J693" s="24" t="n">
        <f aca="false">MAX(0,J691-(J692-J687))</f>
        <v>2170</v>
      </c>
      <c r="K693" s="24" t="n">
        <f aca="false">MAX(0,K691-(K692-K687))</f>
        <v>2480</v>
      </c>
      <c r="L693" s="24" t="n">
        <f aca="false">MAX(0,L691-(L692-L687))</f>
        <v>2842</v>
      </c>
      <c r="M693" s="24" t="n">
        <f aca="false">MAX(0,M691-(M692-M687))</f>
        <v>3803.14294573643</v>
      </c>
      <c r="N693" s="24" t="n">
        <f aca="false">MAX(0,N691-(N692-N687))</f>
        <v>4129.67627906977</v>
      </c>
      <c r="O693" s="24" t="n">
        <f aca="false">MAX(0,O691-(O692-O687))</f>
        <v>4426.0496124031</v>
      </c>
      <c r="P693" s="24" t="n">
        <f aca="false">MAX(0,P691-(P692-P687))</f>
        <v>5022.71441860465</v>
      </c>
      <c r="Q693" s="24" t="n">
        <f aca="false">MAX(0,Q691-(Q692-Q687))</f>
        <v>5301.35441860465</v>
      </c>
      <c r="R693" s="24" t="n">
        <f aca="false">MAX(0,R691-(R692-R687))</f>
        <v>5552.63441860465</v>
      </c>
      <c r="S693" s="24" t="n">
        <f aca="false">MAX(0,S691-(S692-S687))</f>
        <v>5751.71441860465</v>
      </c>
      <c r="T693" s="24" t="n">
        <f aca="false">MAX(0,T691-(T692-T687))</f>
        <v>5950.43441860465</v>
      </c>
      <c r="U693" s="24" t="n">
        <f aca="false">MAX(0,U691-(U692-U687))</f>
        <v>6149.51441860465</v>
      </c>
      <c r="V693" s="24" t="n">
        <f aca="false">MAX(0,V691-(V692-V687))</f>
        <v>6322.31441860465</v>
      </c>
      <c r="W693" s="24" t="n">
        <f aca="false">MAX(0,W691-(W692-W687))</f>
        <v>6495.11441860465</v>
      </c>
      <c r="X693" s="24" t="n">
        <f aca="false">MAX(0,X691-(X692-X687))</f>
        <v>6667.91441860465</v>
      </c>
      <c r="Y693" s="24" t="n">
        <f aca="false">MAX(0,Y691-(Y692-Y687))</f>
        <v>8321.68111627907</v>
      </c>
      <c r="Z693" s="24" t="n">
        <f aca="false">MAX(0,Z691-(Z692-Z687))</f>
        <v>8379.28111627907</v>
      </c>
      <c r="AA693" s="24" t="n">
        <f aca="false">MAX(0,AA691-(AA692-AA687))</f>
        <v>8436.88111627907</v>
      </c>
      <c r="AB693" s="24" t="n">
        <f aca="false">MAX(0,AB691-(AB692-AB687))</f>
        <v>9234.96446511628</v>
      </c>
      <c r="AC693" s="24" t="n">
        <f aca="false">MAX(0,AC691-(AC692-AC687))</f>
        <v>9234.96446511628</v>
      </c>
    </row>
    <row r="694" customFormat="false" ht="15" hidden="false" customHeight="false" outlineLevel="0" collapsed="false">
      <c r="A694" s="3" t="s">
        <v>563</v>
      </c>
      <c r="B694" s="3" t="s">
        <v>95</v>
      </c>
      <c r="D694" s="31" t="n">
        <f aca="false">D692+D693-D687</f>
        <v>1136.66666666667</v>
      </c>
      <c r="E694" s="31" t="n">
        <f aca="false">E692+E693-E687</f>
        <v>1560.66666666667</v>
      </c>
      <c r="F694" s="31" t="n">
        <f aca="false">F692+F693-F687</f>
        <v>2036</v>
      </c>
      <c r="G694" s="31" t="n">
        <f aca="false">G692+G693-G687</f>
        <v>2552.66666666667</v>
      </c>
      <c r="H694" s="31" t="n">
        <f aca="false">H692+H693-H687</f>
        <v>3120.66666666667</v>
      </c>
      <c r="I694" s="31" t="n">
        <f aca="false">I692+I693-I687</f>
        <v>3720</v>
      </c>
      <c r="J694" s="31" t="n">
        <f aca="false">J692+J693-J687</f>
        <v>4340</v>
      </c>
      <c r="K694" s="31" t="n">
        <f aca="false">K692+K693-K687</f>
        <v>4960</v>
      </c>
      <c r="L694" s="31" t="n">
        <f aca="false">L692+L693-L687</f>
        <v>5632</v>
      </c>
      <c r="M694" s="31" t="n">
        <f aca="false">M692+M693-M687</f>
        <v>6955.14294573643</v>
      </c>
      <c r="N694" s="31" t="n">
        <f aca="false">N692+N693-N687</f>
        <v>8294.8192248062</v>
      </c>
      <c r="O694" s="31" t="n">
        <f aca="false">O692+O693-O687</f>
        <v>9542.8688372093</v>
      </c>
      <c r="P694" s="31" t="n">
        <f aca="false">P692+P693-P687</f>
        <v>10100.8688372093</v>
      </c>
      <c r="Q694" s="31" t="n">
        <f aca="false">Q692+Q693-Q687</f>
        <v>10602.7088372093</v>
      </c>
      <c r="R694" s="31" t="n">
        <f aca="false">R692+R693-R687</f>
        <v>11105.2688372093</v>
      </c>
      <c r="S694" s="31" t="n">
        <f aca="false">S692+S693-S687</f>
        <v>11555.2688372093</v>
      </c>
      <c r="T694" s="31" t="n">
        <f aca="false">T692+T693-T687</f>
        <v>11953.4288372093</v>
      </c>
      <c r="U694" s="31" t="n">
        <f aca="false">U692+U693-U687</f>
        <v>12299.0288372093</v>
      </c>
      <c r="V694" s="31" t="n">
        <f aca="false">V692+V693-V687</f>
        <v>12644.6288372093</v>
      </c>
      <c r="W694" s="31" t="n">
        <f aca="false">W692+W693-W687</f>
        <v>12990.2288372093</v>
      </c>
      <c r="X694" s="31" t="n">
        <f aca="false">X692+X693-X687</f>
        <v>13335.8288372093</v>
      </c>
      <c r="Y694" s="31" t="n">
        <f aca="false">Y692+Y693-Y687</f>
        <v>15162.3955348837</v>
      </c>
      <c r="Z694" s="31" t="n">
        <f aca="false">Z692+Z693-Z687</f>
        <v>16873.7622325581</v>
      </c>
      <c r="AA694" s="31" t="n">
        <f aca="false">AA692+AA693-AA687</f>
        <v>18469.9289302326</v>
      </c>
      <c r="AB694" s="31" t="n">
        <f aca="false">AB692+AB693-AB687</f>
        <v>18469.9289302326</v>
      </c>
      <c r="AC694" s="31" t="n">
        <f aca="false">AC692+AC693-AC687</f>
        <v>18469.9289302326</v>
      </c>
    </row>
    <row r="695" customFormat="false" ht="15" hidden="false" customHeight="false" outlineLevel="0" collapsed="false">
      <c r="A695" s="3" t="s">
        <v>564</v>
      </c>
      <c r="B695" s="3" t="s">
        <v>186</v>
      </c>
      <c r="D695" s="66" t="n">
        <f aca="false">IF(D$685&gt;=Assumptions!$E$102,Assumptions!$E$104,Assumptions!$E$103)</f>
        <v>1</v>
      </c>
      <c r="E695" s="66" t="n">
        <f aca="false">IF(E$685&gt;=Assumptions!$E$102,Assumptions!$E$104,Assumptions!$E$103)</f>
        <v>1</v>
      </c>
      <c r="F695" s="66" t="n">
        <f aca="false">IF(F$685&gt;=Assumptions!$E$102,Assumptions!$E$104,Assumptions!$E$103)</f>
        <v>1</v>
      </c>
      <c r="G695" s="66" t="n">
        <f aca="false">IF(G$685&gt;=Assumptions!$E$102,Assumptions!$E$104,Assumptions!$E$103)</f>
        <v>1</v>
      </c>
      <c r="H695" s="66" t="n">
        <f aca="false">IF(H$685&gt;=Assumptions!$E$102,Assumptions!$E$104,Assumptions!$E$103)</f>
        <v>1</v>
      </c>
      <c r="I695" s="66" t="n">
        <f aca="false">IF(I$685&gt;=Assumptions!$E$102,Assumptions!$E$104,Assumptions!$E$103)</f>
        <v>1</v>
      </c>
      <c r="J695" s="66" t="n">
        <f aca="false">IF(J$685&gt;=Assumptions!$E$102,Assumptions!$E$104,Assumptions!$E$103)</f>
        <v>2</v>
      </c>
      <c r="K695" s="66" t="n">
        <f aca="false">IF(K$685&gt;=Assumptions!$E$102,Assumptions!$E$104,Assumptions!$E$103)</f>
        <v>2</v>
      </c>
      <c r="L695" s="66" t="n">
        <f aca="false">IF(L$685&gt;=Assumptions!$E$102,Assumptions!$E$104,Assumptions!$E$103)</f>
        <v>2</v>
      </c>
      <c r="M695" s="66" t="n">
        <f aca="false">IF(M$685&gt;=Assumptions!$E$102,Assumptions!$E$104,Assumptions!$E$103)</f>
        <v>2</v>
      </c>
      <c r="N695" s="66" t="n">
        <f aca="false">IF(N$685&gt;=Assumptions!$E$102,Assumptions!$E$104,Assumptions!$E$103)</f>
        <v>2</v>
      </c>
      <c r="O695" s="66" t="n">
        <f aca="false">IF(O$685&gt;=Assumptions!$E$102,Assumptions!$E$104,Assumptions!$E$103)</f>
        <v>2</v>
      </c>
      <c r="P695" s="66" t="n">
        <f aca="false">IF(P$685&gt;=Assumptions!$E$102,Assumptions!$E$104,Assumptions!$E$103)</f>
        <v>2</v>
      </c>
      <c r="Q695" s="66" t="n">
        <f aca="false">IF(Q$685&gt;=Assumptions!$E$102,Assumptions!$E$104,Assumptions!$E$103)</f>
        <v>2</v>
      </c>
      <c r="R695" s="66" t="n">
        <f aca="false">IF(R$685&gt;=Assumptions!$E$102,Assumptions!$E$104,Assumptions!$E$103)</f>
        <v>2</v>
      </c>
      <c r="S695" s="66" t="n">
        <f aca="false">IF(S$685&gt;=Assumptions!$E$102,Assumptions!$E$104,Assumptions!$E$103)</f>
        <v>2</v>
      </c>
      <c r="T695" s="66" t="n">
        <f aca="false">IF(T$685&gt;=Assumptions!$E$102,Assumptions!$E$104,Assumptions!$E$103)</f>
        <v>2</v>
      </c>
      <c r="U695" s="66" t="n">
        <f aca="false">IF(U$685&gt;=Assumptions!$E$102,Assumptions!$E$104,Assumptions!$E$103)</f>
        <v>2</v>
      </c>
      <c r="V695" s="66" t="n">
        <f aca="false">IF(V$685&gt;=Assumptions!$E$102,Assumptions!$E$104,Assumptions!$E$103)</f>
        <v>2</v>
      </c>
      <c r="W695" s="66" t="n">
        <f aca="false">IF(W$685&gt;=Assumptions!$E$102,Assumptions!$E$104,Assumptions!$E$103)</f>
        <v>2</v>
      </c>
      <c r="X695" s="66" t="n">
        <f aca="false">IF(X$685&gt;=Assumptions!$E$102,Assumptions!$E$104,Assumptions!$E$103)</f>
        <v>2</v>
      </c>
      <c r="Y695" s="66" t="n">
        <f aca="false">IF(Y$685&gt;=Assumptions!$E$102,Assumptions!$E$104,Assumptions!$E$103)</f>
        <v>2</v>
      </c>
      <c r="Z695" s="66" t="n">
        <f aca="false">IF(Z$685&gt;=Assumptions!$E$102,Assumptions!$E$104,Assumptions!$E$103)</f>
        <v>2</v>
      </c>
      <c r="AA695" s="66" t="n">
        <f aca="false">IF(AA$685&gt;=Assumptions!$E$102,Assumptions!$E$104,Assumptions!$E$103)</f>
        <v>2</v>
      </c>
      <c r="AB695" s="66" t="n">
        <f aca="false">IF(AB$685&gt;=Assumptions!$E$102,Assumptions!$E$104,Assumptions!$E$103)</f>
        <v>2</v>
      </c>
      <c r="AC695" s="66" t="n">
        <f aca="false">IF(AC$685&gt;=Assumptions!$E$102,Assumptions!$E$104,Assumptions!$E$103)</f>
        <v>2</v>
      </c>
    </row>
    <row r="696" customFormat="false" ht="15" hidden="false" customHeight="false" outlineLevel="0" collapsed="false">
      <c r="A696" s="3" t="s">
        <v>565</v>
      </c>
      <c r="B696" s="3" t="s">
        <v>90</v>
      </c>
      <c r="D696" s="30" t="n">
        <f aca="false">D$685-D695</f>
        <v>0</v>
      </c>
      <c r="E696" s="30" t="n">
        <f aca="false">E$685-E695</f>
        <v>1</v>
      </c>
      <c r="F696" s="30" t="n">
        <f aca="false">F$685-F695</f>
        <v>2</v>
      </c>
      <c r="G696" s="30" t="n">
        <f aca="false">G$685-G695</f>
        <v>3</v>
      </c>
      <c r="H696" s="30" t="n">
        <f aca="false">H$685-H695</f>
        <v>4</v>
      </c>
      <c r="I696" s="30" t="n">
        <f aca="false">I$685-I695</f>
        <v>5</v>
      </c>
      <c r="J696" s="30" t="n">
        <f aca="false">J$685-J695</f>
        <v>5</v>
      </c>
      <c r="K696" s="30" t="n">
        <f aca="false">K$685-K695</f>
        <v>6</v>
      </c>
      <c r="L696" s="30" t="n">
        <f aca="false">L$685-L695</f>
        <v>7</v>
      </c>
      <c r="M696" s="30" t="n">
        <f aca="false">M$685-M695</f>
        <v>8</v>
      </c>
      <c r="N696" s="30" t="n">
        <f aca="false">N$685-N695</f>
        <v>9</v>
      </c>
      <c r="O696" s="30" t="n">
        <f aca="false">O$685-O695</f>
        <v>10</v>
      </c>
      <c r="P696" s="30" t="n">
        <f aca="false">P$685-P695</f>
        <v>11</v>
      </c>
      <c r="Q696" s="30" t="n">
        <f aca="false">Q$685-Q695</f>
        <v>12</v>
      </c>
      <c r="R696" s="30" t="n">
        <f aca="false">R$685-R695</f>
        <v>13</v>
      </c>
      <c r="S696" s="30" t="n">
        <f aca="false">S$685-S695</f>
        <v>14</v>
      </c>
      <c r="T696" s="30" t="n">
        <f aca="false">T$685-T695</f>
        <v>15</v>
      </c>
      <c r="U696" s="30" t="n">
        <f aca="false">U$685-U695</f>
        <v>16</v>
      </c>
      <c r="V696" s="30" t="n">
        <f aca="false">V$685-V695</f>
        <v>17</v>
      </c>
      <c r="W696" s="30" t="n">
        <f aca="false">W$685-W695</f>
        <v>18</v>
      </c>
      <c r="X696" s="30" t="n">
        <f aca="false">X$685-X695</f>
        <v>19</v>
      </c>
      <c r="Y696" s="30" t="n">
        <f aca="false">Y$685-Y695</f>
        <v>20</v>
      </c>
      <c r="Z696" s="30" t="n">
        <f aca="false">Z$685-Z695</f>
        <v>21</v>
      </c>
      <c r="AA696" s="30" t="n">
        <f aca="false">AA$685-AA695</f>
        <v>22</v>
      </c>
      <c r="AB696" s="30" t="n">
        <f aca="false">AB$685-AB695</f>
        <v>23</v>
      </c>
      <c r="AC696" s="30" t="n">
        <f aca="false">AC$685-AC695</f>
        <v>24</v>
      </c>
    </row>
    <row r="697" customFormat="false" ht="15" hidden="false" customHeight="false" outlineLevel="0" collapsed="false">
      <c r="A697" s="3" t="s">
        <v>566</v>
      </c>
      <c r="B697" s="3" t="s">
        <v>90</v>
      </c>
      <c r="D697" s="30" t="n">
        <f aca="false">D$685-1</f>
        <v>0</v>
      </c>
      <c r="E697" s="30" t="n">
        <f aca="false">E$685-1</f>
        <v>1</v>
      </c>
      <c r="F697" s="30" t="n">
        <f aca="false">F$685-1</f>
        <v>2</v>
      </c>
      <c r="G697" s="30" t="n">
        <f aca="false">G$685-1</f>
        <v>3</v>
      </c>
      <c r="H697" s="30" t="n">
        <f aca="false">H$685-1</f>
        <v>4</v>
      </c>
      <c r="I697" s="30" t="n">
        <f aca="false">I$685-1</f>
        <v>5</v>
      </c>
      <c r="J697" s="30" t="n">
        <f aca="false">J$685-1</f>
        <v>6</v>
      </c>
      <c r="K697" s="30" t="n">
        <f aca="false">K$685-1</f>
        <v>7</v>
      </c>
      <c r="L697" s="30" t="n">
        <f aca="false">L$685-1</f>
        <v>8</v>
      </c>
      <c r="M697" s="30" t="n">
        <f aca="false">M$685-1</f>
        <v>9</v>
      </c>
      <c r="N697" s="30" t="n">
        <f aca="false">N$685-1</f>
        <v>10</v>
      </c>
      <c r="O697" s="30" t="n">
        <f aca="false">O$685-1</f>
        <v>11</v>
      </c>
      <c r="P697" s="30" t="n">
        <f aca="false">P$685-1</f>
        <v>12</v>
      </c>
      <c r="Q697" s="30" t="n">
        <f aca="false">Q$685-1</f>
        <v>13</v>
      </c>
      <c r="R697" s="30" t="n">
        <f aca="false">R$685-1</f>
        <v>14</v>
      </c>
      <c r="S697" s="30" t="n">
        <f aca="false">S$685-1</f>
        <v>15</v>
      </c>
      <c r="T697" s="30" t="n">
        <f aca="false">T$685-1</f>
        <v>16</v>
      </c>
      <c r="U697" s="30" t="n">
        <f aca="false">U$685-1</f>
        <v>17</v>
      </c>
      <c r="V697" s="30" t="n">
        <f aca="false">V$685-1</f>
        <v>18</v>
      </c>
      <c r="W697" s="30" t="n">
        <f aca="false">W$685-1</f>
        <v>19</v>
      </c>
      <c r="X697" s="30" t="n">
        <f aca="false">X$685-1</f>
        <v>20</v>
      </c>
      <c r="Y697" s="30" t="n">
        <f aca="false">Y$685-1</f>
        <v>21</v>
      </c>
      <c r="Z697" s="30" t="n">
        <f aca="false">Z$685-1</f>
        <v>22</v>
      </c>
      <c r="AA697" s="30" t="n">
        <f aca="false">AA$685-1</f>
        <v>23</v>
      </c>
      <c r="AB697" s="30" t="n">
        <f aca="false">AB$685-1</f>
        <v>24</v>
      </c>
      <c r="AC697" s="30" t="n">
        <f aca="false">AC$685-1</f>
        <v>25</v>
      </c>
    </row>
    <row r="698" customFormat="false" ht="15" hidden="false" customHeight="false" outlineLevel="0" collapsed="false">
      <c r="A698" s="3" t="s">
        <v>567</v>
      </c>
      <c r="B698" s="3" t="s">
        <v>62</v>
      </c>
      <c r="D698" s="38" t="n">
        <f aca="false">D693*D689</f>
        <v>10107.1821911422</v>
      </c>
      <c r="E698" s="38" t="n">
        <f aca="false">E693*E689</f>
        <v>5873.92335664336</v>
      </c>
      <c r="F698" s="38" t="n">
        <f aca="false">F693*F689</f>
        <v>7625.27738927739</v>
      </c>
      <c r="G698" s="38" t="n">
        <f aca="false">G693*G689</f>
        <v>9531.59673659674</v>
      </c>
      <c r="H698" s="38" t="n">
        <f aca="false">H693*H689</f>
        <v>11629.7779020979</v>
      </c>
      <c r="I698" s="38" t="n">
        <f aca="false">I693*I689</f>
        <v>13801.7520745921</v>
      </c>
      <c r="J698" s="38" t="n">
        <f aca="false">J693*J689</f>
        <v>16013.0825174825</v>
      </c>
      <c r="K698" s="38" t="n">
        <f aca="false">K693*K689</f>
        <v>18300.6657342657</v>
      </c>
      <c r="L698" s="38" t="n">
        <f aca="false">L693*L689</f>
        <v>20971.9725874126</v>
      </c>
      <c r="M698" s="38" t="n">
        <f aca="false">M693*M689</f>
        <v>28064.5353990134</v>
      </c>
      <c r="N698" s="38" t="n">
        <f aca="false">N693*N689</f>
        <v>30474.1230540251</v>
      </c>
      <c r="O698" s="38" t="n">
        <f aca="false">O693*O689</f>
        <v>32661.1509999458</v>
      </c>
      <c r="P698" s="38" t="n">
        <f aca="false">P693*P689</f>
        <v>37064.120021597</v>
      </c>
      <c r="Q698" s="38" t="n">
        <f aca="false">Q693*Q689</f>
        <v>39120.2883684502</v>
      </c>
      <c r="R698" s="38" t="n">
        <f aca="false">R693*R689</f>
        <v>40974.5590481705</v>
      </c>
      <c r="S698" s="38" t="n">
        <f aca="false">S693*S689</f>
        <v>42443.6302313872</v>
      </c>
      <c r="T698" s="38" t="n">
        <f aca="false">T693*T689</f>
        <v>43910.0448663523</v>
      </c>
      <c r="U698" s="38" t="n">
        <f aca="false">U693*U689</f>
        <v>45379.116049569</v>
      </c>
      <c r="V698" s="38" t="n">
        <f aca="false">V693*V689</f>
        <v>46654.2592104082</v>
      </c>
      <c r="W698" s="38" t="n">
        <f aca="false">W693*W689</f>
        <v>47929.4023712474</v>
      </c>
      <c r="X698" s="38" t="n">
        <f aca="false">X693*X689</f>
        <v>49204.5455320865</v>
      </c>
      <c r="Y698" s="38" t="n">
        <f aca="false">Y693*Y689</f>
        <v>61408.1872807156</v>
      </c>
      <c r="Z698" s="38" t="n">
        <f aca="false">Z693*Z689</f>
        <v>61833.2350009953</v>
      </c>
      <c r="AA698" s="38" t="n">
        <f aca="false">AA693*AA689</f>
        <v>62258.282721275</v>
      </c>
      <c r="AB698" s="38" t="n">
        <f aca="false">AB693*AB689</f>
        <v>68147.5797354497</v>
      </c>
      <c r="AC698" s="38" t="n">
        <f aca="false">AC693*AC689</f>
        <v>68147.5797354497</v>
      </c>
    </row>
    <row r="699" customFormat="false" ht="15" hidden="false" customHeight="false" outlineLevel="0" collapsed="false">
      <c r="A699" s="3" t="s">
        <v>568</v>
      </c>
      <c r="B699" s="3" t="s">
        <v>62</v>
      </c>
      <c r="D699" s="38" t="n">
        <f aca="false">D693*D690</f>
        <v>8739.43114219114</v>
      </c>
      <c r="E699" s="38" t="n">
        <f aca="false">E693*E690</f>
        <v>5079.03664335664</v>
      </c>
      <c r="F699" s="38" t="n">
        <f aca="false">F693*F690</f>
        <v>6593.38927738928</v>
      </c>
      <c r="G699" s="38" t="n">
        <f aca="false">G693*G690</f>
        <v>8241.73659673659</v>
      </c>
      <c r="H699" s="38" t="n">
        <f aca="false">H693*H690</f>
        <v>10055.9820979021</v>
      </c>
      <c r="I699" s="38" t="n">
        <f aca="false">I693*I690</f>
        <v>11934.0345920746</v>
      </c>
      <c r="J699" s="38" t="n">
        <f aca="false">J693*J690</f>
        <v>13846.1174825175</v>
      </c>
      <c r="K699" s="38" t="n">
        <f aca="false">K693*K690</f>
        <v>15824.1342657343</v>
      </c>
      <c r="L699" s="38" t="n">
        <f aca="false">L693*L690</f>
        <v>18133.9474125874</v>
      </c>
      <c r="M699" s="38" t="n">
        <f aca="false">M693*M690</f>
        <v>24266.7115343199</v>
      </c>
      <c r="N699" s="38" t="n">
        <f aca="false">N693*N690</f>
        <v>26350.222545975</v>
      </c>
      <c r="O699" s="38" t="n">
        <f aca="false">O693*O690</f>
        <v>28241.2916667209</v>
      </c>
      <c r="P699" s="38" t="n">
        <f aca="false">P693*P690</f>
        <v>32048.430378403</v>
      </c>
      <c r="Q699" s="38" t="n">
        <f aca="false">Q693*Q690</f>
        <v>33826.3484315498</v>
      </c>
      <c r="R699" s="38" t="n">
        <f aca="false">R693*R690</f>
        <v>35429.6905518296</v>
      </c>
      <c r="S699" s="38" t="n">
        <f aca="false">S693*S690</f>
        <v>36699.9601686128</v>
      </c>
      <c r="T699" s="38" t="n">
        <f aca="false">T693*T690</f>
        <v>37967.9327336477</v>
      </c>
      <c r="U699" s="38" t="n">
        <f aca="false">U693*U690</f>
        <v>39238.2023504309</v>
      </c>
      <c r="V699" s="38" t="n">
        <f aca="false">V693*V690</f>
        <v>37622.1919895918</v>
      </c>
      <c r="W699" s="38" t="n">
        <f aca="false">W693*W690</f>
        <v>38650.4728287526</v>
      </c>
      <c r="X699" s="38" t="n">
        <f aca="false">X693*X690</f>
        <v>39678.7536679135</v>
      </c>
      <c r="Y699" s="38" t="n">
        <f aca="false">Y693*Y690</f>
        <v>49519.8219992844</v>
      </c>
      <c r="Z699" s="38" t="n">
        <f aca="false">Z693*Z690</f>
        <v>49862.5822790047</v>
      </c>
      <c r="AA699" s="38" t="n">
        <f aca="false">AA693*AA690</f>
        <v>50205.342558725</v>
      </c>
      <c r="AB699" s="38" t="n">
        <f aca="false">AB693*AB690</f>
        <v>54954.4965845503</v>
      </c>
      <c r="AC699" s="38" t="n">
        <f aca="false">AC693*AC690</f>
        <v>54954.4965845504</v>
      </c>
    </row>
    <row r="701" customFormat="false" ht="15" hidden="false" customHeight="false" outlineLevel="0" collapsed="false">
      <c r="A701" s="9" t="s">
        <v>569</v>
      </c>
    </row>
    <row r="702" customFormat="false" ht="15" hidden="false" customHeight="false" outlineLevel="0" collapsed="false">
      <c r="A702" s="3" t="s">
        <v>570</v>
      </c>
      <c r="B702" s="3" t="s">
        <v>62</v>
      </c>
      <c r="C702" s="60" t="n">
        <f aca="false">Assumptions!$E$107*SUMPRODUCT(($D$696:$AC$696=C$685)*$D$698:$AC$698)</f>
        <v>3032.15465734266</v>
      </c>
      <c r="D702" s="60" t="n">
        <f aca="false">Assumptions!$E$107*SUMPRODUCT(($D$696:$AC$696=D$685)*$D$698:$AC$698)</f>
        <v>1762.17700699301</v>
      </c>
      <c r="E702" s="60" t="n">
        <f aca="false">Assumptions!$E$107*SUMPRODUCT(($D$696:$AC$696=E$685)*$D$698:$AC$698)</f>
        <v>2287.58321678322</v>
      </c>
      <c r="F702" s="60" t="n">
        <f aca="false">Assumptions!$E$107*SUMPRODUCT(($D$696:$AC$696=F$685)*$D$698:$AC$698)</f>
        <v>2859.47902097902</v>
      </c>
      <c r="G702" s="60" t="n">
        <f aca="false">Assumptions!$E$107*SUMPRODUCT(($D$696:$AC$696=G$685)*$D$698:$AC$698)</f>
        <v>3488.93337062937</v>
      </c>
      <c r="H702" s="60" t="n">
        <f aca="false">Assumptions!$E$107*SUMPRODUCT(($D$696:$AC$696=H$685)*$D$698:$AC$698)</f>
        <v>8944.45037762238</v>
      </c>
      <c r="I702" s="60" t="n">
        <f aca="false">Assumptions!$E$107*SUMPRODUCT(($D$696:$AC$696=I$685)*$D$698:$AC$698)</f>
        <v>5490.19972027972</v>
      </c>
      <c r="J702" s="60" t="n">
        <f aca="false">Assumptions!$E$107*SUMPRODUCT(($D$696:$AC$696=J$685)*$D$698:$AC$698)</f>
        <v>6291.59177622378</v>
      </c>
      <c r="K702" s="60" t="n">
        <f aca="false">Assumptions!$E$107*SUMPRODUCT(($D$696:$AC$696=K$685)*$D$698:$AC$698)</f>
        <v>8419.36061970402</v>
      </c>
      <c r="L702" s="60" t="n">
        <f aca="false">Assumptions!$E$107*SUMPRODUCT(($D$696:$AC$696=L$685)*$D$698:$AC$698)</f>
        <v>9142.23691620752</v>
      </c>
      <c r="M702" s="60" t="n">
        <f aca="false">Assumptions!$E$107*SUMPRODUCT(($D$696:$AC$696=M$685)*$D$698:$AC$698)</f>
        <v>9798.34529998374</v>
      </c>
      <c r="N702" s="60" t="n">
        <f aca="false">Assumptions!$E$107*SUMPRODUCT(($D$696:$AC$696=N$685)*$D$698:$AC$698)</f>
        <v>11119.2360064791</v>
      </c>
      <c r="O702" s="60" t="n">
        <f aca="false">Assumptions!$E$107*SUMPRODUCT(($D$696:$AC$696=O$685)*$D$698:$AC$698)</f>
        <v>11736.086510535</v>
      </c>
      <c r="P702" s="60" t="n">
        <f aca="false">Assumptions!$E$107*SUMPRODUCT(($D$696:$AC$696=P$685)*$D$698:$AC$698)</f>
        <v>12292.3677144511</v>
      </c>
      <c r="Q702" s="60" t="n">
        <f aca="false">Assumptions!$E$107*SUMPRODUCT(($D$696:$AC$696=Q$685)*$D$698:$AC$698)</f>
        <v>12733.0890694162</v>
      </c>
      <c r="R702" s="60" t="n">
        <f aca="false">Assumptions!$E$107*SUMPRODUCT(($D$696:$AC$696=R$685)*$D$698:$AC$698)</f>
        <v>13173.0134599057</v>
      </c>
      <c r="S702" s="60" t="n">
        <f aca="false">Assumptions!$E$107*SUMPRODUCT(($D$696:$AC$696=S$685)*$D$698:$AC$698)</f>
        <v>13613.7348148707</v>
      </c>
      <c r="T702" s="60" t="n">
        <f aca="false">Assumptions!$E$107*SUMPRODUCT(($D$696:$AC$696=T$685)*$D$698:$AC$698)</f>
        <v>13996.2777631225</v>
      </c>
      <c r="U702" s="60" t="n">
        <f aca="false">Assumptions!$E$107*SUMPRODUCT(($D$696:$AC$696=U$685)*$D$698:$AC$698)</f>
        <v>14378.8207113742</v>
      </c>
      <c r="V702" s="60" t="n">
        <f aca="false">Assumptions!$E$107*SUMPRODUCT(($D$696:$AC$696=V$685)*$D$698:$AC$698)</f>
        <v>14761.363659626</v>
      </c>
      <c r="W702" s="60" t="n">
        <f aca="false">Assumptions!$E$107*SUMPRODUCT(($D$696:$AC$696=W$685)*$D$698:$AC$698)</f>
        <v>18422.4561842147</v>
      </c>
      <c r="X702" s="60" t="n">
        <f aca="false">Assumptions!$E$107*SUMPRODUCT(($D$696:$AC$696=X$685)*$D$698:$AC$698)</f>
        <v>18549.9705002986</v>
      </c>
      <c r="Y702" s="60" t="n">
        <f aca="false">Assumptions!$E$107*SUMPRODUCT(($D$696:$AC$696=Y$685)*$D$698:$AC$698)</f>
        <v>18677.4848163825</v>
      </c>
      <c r="Z702" s="60" t="n">
        <f aca="false">Assumptions!$E$107*SUMPRODUCT(($D$696:$AC$696=Z$685)*$D$698:$AC$698)</f>
        <v>20444.2739206349</v>
      </c>
      <c r="AA702" s="60" t="n">
        <f aca="false">Assumptions!$E$107*SUMPRODUCT(($D$696:$AC$696=AA$685)*$D$698:$AC$698)</f>
        <v>20444.2739206349</v>
      </c>
    </row>
    <row r="703" customFormat="false" ht="15" hidden="false" customHeight="false" outlineLevel="0" collapsed="false">
      <c r="A703" s="3" t="s">
        <v>571</v>
      </c>
      <c r="B703" s="3" t="s">
        <v>62</v>
      </c>
      <c r="C703" s="60" t="n">
        <f aca="false">(1-Assumptions!$E$107)*SUMPRODUCT(($D$697:$AC$697=C$685)*$D$698:$AC$698)</f>
        <v>7075.02753379954</v>
      </c>
      <c r="D703" s="60" t="n">
        <f aca="false">(1-Assumptions!$E$107)*SUMPRODUCT(($D$697:$AC$697=D$685)*$D$698:$AC$698)</f>
        <v>4111.74634965035</v>
      </c>
      <c r="E703" s="60" t="n">
        <f aca="false">(1-Assumptions!$E$107)*SUMPRODUCT(($D$697:$AC$697=E$685)*$D$698:$AC$698)</f>
        <v>5337.69417249417</v>
      </c>
      <c r="F703" s="60" t="n">
        <f aca="false">(1-Assumptions!$E$107)*SUMPRODUCT(($D$697:$AC$697=F$685)*$D$698:$AC$698)</f>
        <v>6672.11771561772</v>
      </c>
      <c r="G703" s="60" t="n">
        <f aca="false">(1-Assumptions!$E$107)*SUMPRODUCT(($D$697:$AC$697=G$685)*$D$698:$AC$698)</f>
        <v>8140.84453146853</v>
      </c>
      <c r="H703" s="60" t="n">
        <f aca="false">(1-Assumptions!$E$107)*SUMPRODUCT(($D$697:$AC$697=H$685)*$D$698:$AC$698)</f>
        <v>9661.22645221446</v>
      </c>
      <c r="I703" s="60" t="n">
        <f aca="false">(1-Assumptions!$E$107)*SUMPRODUCT(($D$697:$AC$697=I$685)*$D$698:$AC$698)</f>
        <v>11209.1577622378</v>
      </c>
      <c r="J703" s="60" t="n">
        <f aca="false">(1-Assumptions!$E$107)*SUMPRODUCT(($D$697:$AC$697=J$685)*$D$698:$AC$698)</f>
        <v>12810.466013986</v>
      </c>
      <c r="K703" s="60" t="n">
        <f aca="false">(1-Assumptions!$E$107)*SUMPRODUCT(($D$697:$AC$697=K$685)*$D$698:$AC$698)</f>
        <v>14680.3808111888</v>
      </c>
      <c r="L703" s="60" t="n">
        <f aca="false">(1-Assumptions!$E$107)*SUMPRODUCT(($D$697:$AC$697=L$685)*$D$698:$AC$698)</f>
        <v>19645.1747793094</v>
      </c>
      <c r="M703" s="60" t="n">
        <f aca="false">(1-Assumptions!$E$107)*SUMPRODUCT(($D$697:$AC$697=M$685)*$D$698:$AC$698)</f>
        <v>21331.8861378176</v>
      </c>
      <c r="N703" s="60" t="n">
        <f aca="false">(1-Assumptions!$E$107)*SUMPRODUCT(($D$697:$AC$697=N$685)*$D$698:$AC$698)</f>
        <v>22862.8056999621</v>
      </c>
      <c r="O703" s="60" t="n">
        <f aca="false">(1-Assumptions!$E$107)*SUMPRODUCT(($D$697:$AC$697=O$685)*$D$698:$AC$698)</f>
        <v>25944.8840151179</v>
      </c>
      <c r="P703" s="60" t="n">
        <f aca="false">(1-Assumptions!$E$107)*SUMPRODUCT(($D$697:$AC$697=P$685)*$D$698:$AC$698)</f>
        <v>27384.2018579151</v>
      </c>
      <c r="Q703" s="60" t="n">
        <f aca="false">(1-Assumptions!$E$107)*SUMPRODUCT(($D$697:$AC$697=Q$685)*$D$698:$AC$698)</f>
        <v>28682.1913337193</v>
      </c>
      <c r="R703" s="60" t="n">
        <f aca="false">(1-Assumptions!$E$107)*SUMPRODUCT(($D$697:$AC$697=R$685)*$D$698:$AC$698)</f>
        <v>29710.5411619711</v>
      </c>
      <c r="S703" s="60" t="n">
        <f aca="false">(1-Assumptions!$E$107)*SUMPRODUCT(($D$697:$AC$697=S$685)*$D$698:$AC$698)</f>
        <v>30737.0314064466</v>
      </c>
      <c r="T703" s="60" t="n">
        <f aca="false">(1-Assumptions!$E$107)*SUMPRODUCT(($D$697:$AC$697=T$685)*$D$698:$AC$698)</f>
        <v>31765.3812346983</v>
      </c>
      <c r="U703" s="60" t="n">
        <f aca="false">(1-Assumptions!$E$107)*SUMPRODUCT(($D$697:$AC$697=U$685)*$D$698:$AC$698)</f>
        <v>32657.9814472857</v>
      </c>
      <c r="V703" s="60" t="n">
        <f aca="false">(1-Assumptions!$E$107)*SUMPRODUCT(($D$697:$AC$697=V$685)*$D$698:$AC$698)</f>
        <v>33550.5816598731</v>
      </c>
      <c r="W703" s="60" t="n">
        <f aca="false">(1-Assumptions!$E$107)*SUMPRODUCT(($D$697:$AC$697=W$685)*$D$698:$AC$698)</f>
        <v>34443.1818724606</v>
      </c>
      <c r="X703" s="60" t="n">
        <f aca="false">(1-Assumptions!$E$107)*SUMPRODUCT(($D$697:$AC$697=X$685)*$D$698:$AC$698)</f>
        <v>42985.7310965009</v>
      </c>
      <c r="Y703" s="60" t="n">
        <f aca="false">(1-Assumptions!$E$107)*SUMPRODUCT(($D$697:$AC$697=Y$685)*$D$698:$AC$698)</f>
        <v>43283.2645006967</v>
      </c>
      <c r="Z703" s="60" t="n">
        <f aca="false">(1-Assumptions!$E$107)*SUMPRODUCT(($D$697:$AC$697=Z$685)*$D$698:$AC$698)</f>
        <v>43580.7979048925</v>
      </c>
      <c r="AA703" s="60" t="n">
        <f aca="false">(1-Assumptions!$E$107)*SUMPRODUCT(($D$697:$AC$697=AA$685)*$D$698:$AC$698)</f>
        <v>47703.3058148148</v>
      </c>
    </row>
    <row r="704" customFormat="false" ht="15" hidden="false" customHeight="false" outlineLevel="0" collapsed="false">
      <c r="A704" s="3" t="s">
        <v>572</v>
      </c>
      <c r="B704" s="3" t="s">
        <v>62</v>
      </c>
      <c r="C704" s="38" t="n">
        <f aca="false">0</f>
        <v>0</v>
      </c>
      <c r="D704" s="38" t="n">
        <f aca="false">D699</f>
        <v>8739.43114219114</v>
      </c>
      <c r="E704" s="38" t="n">
        <f aca="false">E699</f>
        <v>5079.03664335664</v>
      </c>
      <c r="F704" s="38" t="n">
        <f aca="false">F699</f>
        <v>6593.38927738928</v>
      </c>
      <c r="G704" s="38" t="n">
        <f aca="false">G699</f>
        <v>8241.73659673659</v>
      </c>
      <c r="H704" s="38" t="n">
        <f aca="false">H699</f>
        <v>10055.9820979021</v>
      </c>
      <c r="I704" s="38" t="n">
        <f aca="false">I699</f>
        <v>11934.0345920746</v>
      </c>
      <c r="J704" s="38" t="n">
        <f aca="false">J699</f>
        <v>13846.1174825175</v>
      </c>
      <c r="K704" s="38" t="n">
        <f aca="false">K699</f>
        <v>15824.1342657343</v>
      </c>
      <c r="L704" s="38" t="n">
        <f aca="false">L699</f>
        <v>18133.9474125874</v>
      </c>
      <c r="M704" s="38" t="n">
        <f aca="false">M699</f>
        <v>24266.7115343199</v>
      </c>
      <c r="N704" s="38" t="n">
        <f aca="false">N699</f>
        <v>26350.222545975</v>
      </c>
      <c r="O704" s="38" t="n">
        <f aca="false">O699</f>
        <v>28241.2916667209</v>
      </c>
      <c r="P704" s="38" t="n">
        <f aca="false">P699</f>
        <v>32048.430378403</v>
      </c>
      <c r="Q704" s="38" t="n">
        <f aca="false">Q699</f>
        <v>33826.3484315498</v>
      </c>
      <c r="R704" s="38" t="n">
        <f aca="false">R699</f>
        <v>35429.6905518296</v>
      </c>
      <c r="S704" s="38" t="n">
        <f aca="false">S699</f>
        <v>36699.9601686128</v>
      </c>
      <c r="T704" s="38" t="n">
        <f aca="false">T699</f>
        <v>37967.9327336477</v>
      </c>
      <c r="U704" s="38" t="n">
        <f aca="false">U699</f>
        <v>39238.2023504309</v>
      </c>
      <c r="V704" s="38" t="n">
        <f aca="false">V699</f>
        <v>37622.1919895918</v>
      </c>
      <c r="W704" s="38" t="n">
        <f aca="false">W699</f>
        <v>38650.4728287526</v>
      </c>
      <c r="X704" s="38" t="n">
        <f aca="false">X699</f>
        <v>39678.7536679135</v>
      </c>
      <c r="Y704" s="38" t="n">
        <f aca="false">Y699</f>
        <v>49519.8219992844</v>
      </c>
      <c r="Z704" s="38" t="n">
        <f aca="false">Z699</f>
        <v>49862.5822790047</v>
      </c>
      <c r="AA704" s="38" t="n">
        <f aca="false">AA699</f>
        <v>50205.342558725</v>
      </c>
    </row>
    <row r="705" customFormat="false" ht="15" hidden="false" customHeight="false" outlineLevel="0" collapsed="false">
      <c r="A705" s="9" t="s">
        <v>573</v>
      </c>
      <c r="B705" s="3" t="s">
        <v>62</v>
      </c>
      <c r="C705" s="29" t="n">
        <f aca="false">C702+C703+C704</f>
        <v>10107.1821911422</v>
      </c>
      <c r="D705" s="29" t="n">
        <f aca="false">D702+D703+D704</f>
        <v>14613.3544988345</v>
      </c>
      <c r="E705" s="29" t="n">
        <f aca="false">E702+E703+E704</f>
        <v>12704.314032634</v>
      </c>
      <c r="F705" s="29" t="n">
        <f aca="false">F702+F703+F704</f>
        <v>16124.986013986</v>
      </c>
      <c r="G705" s="29" t="n">
        <f aca="false">G702+G703+G704</f>
        <v>19871.5144988345</v>
      </c>
      <c r="H705" s="29" t="n">
        <f aca="false">H702+H703+H704</f>
        <v>28661.6589277389</v>
      </c>
      <c r="I705" s="29" t="n">
        <f aca="false">I702+I703+I704</f>
        <v>28633.3920745921</v>
      </c>
      <c r="J705" s="29" t="n">
        <f aca="false">J702+J703+J704</f>
        <v>32948.1752727273</v>
      </c>
      <c r="K705" s="29" t="n">
        <f aca="false">K702+K703+K704</f>
        <v>38923.8756966271</v>
      </c>
      <c r="L705" s="29" t="n">
        <f aca="false">L702+L703+L704</f>
        <v>46921.3591081043</v>
      </c>
      <c r="M705" s="29" t="n">
        <f aca="false">M702+M703+M704</f>
        <v>55396.9429721212</v>
      </c>
      <c r="N705" s="29" t="n">
        <f aca="false">N702+N703+N704</f>
        <v>60332.2642524161</v>
      </c>
      <c r="O705" s="29" t="n">
        <f aca="false">O702+O703+O704</f>
        <v>65922.2621923738</v>
      </c>
      <c r="P705" s="29" t="n">
        <f aca="false">P702+P703+P704</f>
        <v>71724.9999507692</v>
      </c>
      <c r="Q705" s="29" t="n">
        <f aca="false">Q702+Q703+Q704</f>
        <v>75241.6288346853</v>
      </c>
      <c r="R705" s="29" t="n">
        <f aca="false">R702+R703+R704</f>
        <v>78313.2451737063</v>
      </c>
      <c r="S705" s="29" t="n">
        <f aca="false">S702+S703+S704</f>
        <v>81050.7263899301</v>
      </c>
      <c r="T705" s="29" t="n">
        <f aca="false">T702+T703+T704</f>
        <v>83729.5917314685</v>
      </c>
      <c r="U705" s="29" t="n">
        <f aca="false">U702+U703+U704</f>
        <v>86275.0045090909</v>
      </c>
      <c r="V705" s="29" t="n">
        <f aca="false">V702+V703+V704</f>
        <v>85934.1373090909</v>
      </c>
      <c r="W705" s="29" t="n">
        <f aca="false">W702+W703+W704</f>
        <v>91516.1108854278</v>
      </c>
      <c r="X705" s="29" t="n">
        <f aca="false">X702+X703+X704</f>
        <v>101214.455264713</v>
      </c>
      <c r="Y705" s="29" t="n">
        <f aca="false">Y702+Y703+Y704</f>
        <v>111480.571316364</v>
      </c>
      <c r="Z705" s="29" t="n">
        <f aca="false">Z702+Z703+Z704</f>
        <v>113887.654104532</v>
      </c>
      <c r="AA705" s="29" t="n">
        <f aca="false">AA702+AA703+AA704</f>
        <v>118352.922294175</v>
      </c>
    </row>
    <row r="706" customFormat="false" ht="15" hidden="false" customHeight="false" outlineLevel="0" collapsed="false">
      <c r="A706" s="3" t="s">
        <v>574</v>
      </c>
      <c r="B706" s="3" t="s">
        <v>62</v>
      </c>
      <c r="C706" s="38" t="n">
        <f aca="false">0</f>
        <v>0</v>
      </c>
      <c r="D706" s="38" t="n">
        <f aca="false">D535-D537-D538-D539-D540-D541</f>
        <v>4178.855</v>
      </c>
      <c r="E706" s="38" t="n">
        <f aca="false">E535-E537-E538-E539-E540-E541</f>
        <v>6671.82</v>
      </c>
      <c r="F706" s="38" t="n">
        <f aca="false">F535-F537-F538-F539-F540-F541</f>
        <v>10007.73</v>
      </c>
      <c r="G706" s="38" t="n">
        <f aca="false">G535-G537-G538-G539-G540-G541</f>
        <v>16565.625</v>
      </c>
      <c r="H706" s="38" t="n">
        <f aca="false">H535-H537-H538-H539-H540-H541</f>
        <v>21546</v>
      </c>
      <c r="I706" s="38" t="n">
        <f aca="false">I535-I537-I538-I539-I540-I541</f>
        <v>27167.625</v>
      </c>
      <c r="J706" s="38" t="n">
        <f aca="false">J535-J537-J538-J539-J540-J541</f>
        <v>37796.75</v>
      </c>
      <c r="K706" s="38" t="n">
        <f aca="false">K535-K537-K538-K539-K540-K541</f>
        <v>45356.1</v>
      </c>
      <c r="L706" s="38" t="n">
        <f aca="false">L535-L537-L538-L539-L540-L541</f>
        <v>52915.45</v>
      </c>
      <c r="M706" s="38" t="n">
        <f aca="false">M535-M537-M538-M539-M540-M541</f>
        <v>60474.8</v>
      </c>
      <c r="N706" s="38" t="n">
        <f aca="false">N535-N537-N538-N539-N540-N541</f>
        <v>68034.15</v>
      </c>
      <c r="O706" s="38" t="n">
        <f aca="false">O535-O537-O538-O539-O540-O541</f>
        <v>77495.53</v>
      </c>
      <c r="P706" s="38" t="n">
        <f aca="false">P535-P537-P538-P539-P540-P541</f>
        <v>89554.4</v>
      </c>
      <c r="Q706" s="38" t="n">
        <f aca="false">Q535-Q537-Q538-Q539-Q540-Q541</f>
        <v>97513.65</v>
      </c>
      <c r="R706" s="38" t="n">
        <f aca="false">R535-R537-R538-R539-R540-R541</f>
        <v>103470.25</v>
      </c>
      <c r="S706" s="38" t="n">
        <f aca="false">S535-S537-S538-S539-S540-S541</f>
        <v>109452.525</v>
      </c>
      <c r="T706" s="38" t="n">
        <f aca="false">T535-T537-T538-T539-T540-T541</f>
        <v>115409.125</v>
      </c>
      <c r="U706" s="38" t="n">
        <f aca="false">U535-U537-U538-U539-U540-U541</f>
        <v>121391.4</v>
      </c>
      <c r="V706" s="38" t="n">
        <f aca="false">V535-V537-V538-V539-V540-V541</f>
        <v>122591.04</v>
      </c>
      <c r="W706" s="38" t="n">
        <f aca="false">W535-W537-W538-W539-W540-W541</f>
        <v>126603.84</v>
      </c>
      <c r="X706" s="38" t="n">
        <f aca="false">X535-X537-X538-X539-X540-X541</f>
        <v>130616.64</v>
      </c>
      <c r="Y706" s="38" t="n">
        <f aca="false">Y535-Y537-Y538-Y539-Y540-Y541</f>
        <v>134629.44</v>
      </c>
      <c r="Z706" s="38" t="n">
        <f aca="false">Z535-Z537-Z538-Z539-Z540-Z541</f>
        <v>138642.24</v>
      </c>
      <c r="AA706" s="38" t="n">
        <f aca="false">AA535-AA537-AA538-AA539-AA540-AA541</f>
        <v>142655.04</v>
      </c>
    </row>
    <row r="707" customFormat="false" ht="15" hidden="false" customHeight="false" outlineLevel="0" collapsed="false">
      <c r="A707" s="3" t="s">
        <v>575</v>
      </c>
      <c r="B707" s="3" t="s">
        <v>62</v>
      </c>
      <c r="C707" s="38" t="n">
        <f aca="false">0</f>
        <v>0</v>
      </c>
      <c r="D707" s="38" t="n">
        <f aca="false">D562-D565-D566-D567-D568+D570-D573-D574-D575-D576</f>
        <v>0</v>
      </c>
      <c r="E707" s="38" t="n">
        <f aca="false">E562-E565-E566-E567-E568+E570-E573-E574-E575-E576</f>
        <v>0</v>
      </c>
      <c r="F707" s="38" t="n">
        <f aca="false">F562-F565-F566-F567-F568+F570-F573-F574-F575-F576</f>
        <v>0</v>
      </c>
      <c r="G707" s="38" t="n">
        <f aca="false">G562-G565-G566-G567-G568+G570-G573-G574-G575-G576</f>
        <v>0</v>
      </c>
      <c r="H707" s="38" t="n">
        <f aca="false">H562-H565-H566-H567-H568+H570-H573-H574-H575-H576</f>
        <v>0</v>
      </c>
      <c r="I707" s="38" t="n">
        <f aca="false">I562-I565-I566-I567-I568+I570-I573-I574-I575-I576</f>
        <v>0</v>
      </c>
      <c r="J707" s="38" t="n">
        <f aca="false">J562-J565-J566-J567-J568+J570-J573-J574-J575-J576</f>
        <v>0</v>
      </c>
      <c r="K707" s="38" t="n">
        <f aca="false">K562-K565-K566-K567-K568+K570-K573-K574-K575-K576</f>
        <v>0</v>
      </c>
      <c r="L707" s="38" t="n">
        <f aca="false">L562-L565-L566-L567-L568+L570-L573-L574-L575-L576</f>
        <v>0</v>
      </c>
      <c r="M707" s="38" t="n">
        <f aca="false">M562-M565-M566-M567-M568+M570-M573-M574-M575-M576</f>
        <v>0</v>
      </c>
      <c r="N707" s="38" t="n">
        <f aca="false">N562-N565-N566-N567-N568+N570-N573-N574-N575-N576</f>
        <v>0</v>
      </c>
      <c r="O707" s="38" t="n">
        <f aca="false">O562-O565-O566-O567-O568+O570-O573-O574-O575-O576</f>
        <v>0</v>
      </c>
      <c r="P707" s="38" t="n">
        <f aca="false">P562-P565-P566-P567-P568+P570-P573-P574-P575-P576</f>
        <v>21074.5311255814</v>
      </c>
      <c r="Q707" s="38" t="n">
        <f aca="false">Q562-Q565-Q566-Q567-Q568+Q570-Q573-Q574-Q575-Q576</f>
        <v>21755.7871255814</v>
      </c>
      <c r="R707" s="38" t="n">
        <f aca="false">R562-R565-R566-R567-R568+R570-R573-R574-R575-R576</f>
        <v>22265.6303255814</v>
      </c>
      <c r="S707" s="38" t="n">
        <f aca="false">S562-S565-S566-S567-S568+S570-S573-S574-S575-S576</f>
        <v>22777.6711255814</v>
      </c>
      <c r="T707" s="38" t="n">
        <f aca="false">T562-T565-T566-T567-T568+T570-T573-T574-T575-T576</f>
        <v>23287.5143255814</v>
      </c>
      <c r="U707" s="38" t="n">
        <f aca="false">U562-U565-U566-U567-U568+U570-U573-U574-U575-U576</f>
        <v>23799.5551255814</v>
      </c>
      <c r="V707" s="38" t="n">
        <f aca="false">V562-V565-V566-V567-V568+V570-V573-V574-V575-V576</f>
        <v>24151.1711255814</v>
      </c>
      <c r="W707" s="38" t="n">
        <f aca="false">W562-W565-W566-W567-W568+W570-W573-W574-W575-W576</f>
        <v>24502.7871255814</v>
      </c>
      <c r="X707" s="38" t="n">
        <f aca="false">X562-X565-X566-X567-X568+X570-X573-X574-X575-X576</f>
        <v>24854.4031255814</v>
      </c>
      <c r="Y707" s="38" t="n">
        <f aca="false">Y562-Y565-Y566-Y567-Y568+Y570-Y573-Y574-Y575-Y576</f>
        <v>25206.0191255814</v>
      </c>
      <c r="Z707" s="38" t="n">
        <f aca="false">Z562-Z565-Z566-Z567-Z568+Z570-Z573-Z574-Z575-Z576</f>
        <v>25557.6351255814</v>
      </c>
      <c r="AA707" s="38" t="n">
        <f aca="false">AA562-AA565-AA566-AA567-AA568+AA570-AA573-AA574-AA575-AA576</f>
        <v>25909.2511255814</v>
      </c>
    </row>
    <row r="708" customFormat="false" ht="15" hidden="false" customHeight="false" outlineLevel="0" collapsed="false">
      <c r="A708" s="3" t="s">
        <v>576</v>
      </c>
      <c r="B708" s="3" t="s">
        <v>62</v>
      </c>
      <c r="C708" s="60" t="n">
        <f aca="false">(C706+C707)*Assumptions!$E$108/30</f>
        <v>0</v>
      </c>
      <c r="D708" s="60" t="n">
        <f aca="false">(D706+D707)*Assumptions!$E$108/30</f>
        <v>1950.13233333333</v>
      </c>
      <c r="E708" s="60" t="n">
        <f aca="false">(E706+E707)*Assumptions!$E$108/30</f>
        <v>3113.516</v>
      </c>
      <c r="F708" s="60" t="n">
        <f aca="false">(F706+F707)*Assumptions!$E$108/30</f>
        <v>4670.274</v>
      </c>
      <c r="G708" s="60" t="n">
        <f aca="false">(G706+G707)*Assumptions!$E$108/30</f>
        <v>7730.625</v>
      </c>
      <c r="H708" s="60" t="n">
        <f aca="false">(H706+H707)*Assumptions!$E$108/30</f>
        <v>10054.8</v>
      </c>
      <c r="I708" s="60" t="n">
        <f aca="false">(I706+I707)*Assumptions!$E$108/30</f>
        <v>12678.225</v>
      </c>
      <c r="J708" s="60" t="n">
        <f aca="false">(J706+J707)*Assumptions!$E$108/30</f>
        <v>17638.4833333333</v>
      </c>
      <c r="K708" s="60" t="n">
        <f aca="false">(K706+K707)*Assumptions!$E$108/30</f>
        <v>21166.18</v>
      </c>
      <c r="L708" s="60" t="n">
        <f aca="false">(L706+L707)*Assumptions!$E$108/30</f>
        <v>24693.8766666667</v>
      </c>
      <c r="M708" s="60" t="n">
        <f aca="false">(M706+M707)*Assumptions!$E$108/30</f>
        <v>28221.5733333333</v>
      </c>
      <c r="N708" s="60" t="n">
        <f aca="false">(N706+N707)*Assumptions!$E$108/30</f>
        <v>31749.27</v>
      </c>
      <c r="O708" s="60" t="n">
        <f aca="false">(O706+O707)*Assumptions!$E$108/30</f>
        <v>36164.5806666667</v>
      </c>
      <c r="P708" s="60" t="n">
        <f aca="false">(P706+P707)*Assumptions!$E$108/30</f>
        <v>51626.8345252713</v>
      </c>
      <c r="Q708" s="60" t="n">
        <f aca="false">(Q706+Q707)*Assumptions!$E$108/30</f>
        <v>55659.0706586046</v>
      </c>
      <c r="R708" s="60" t="n">
        <f aca="false">(R706+R707)*Assumptions!$E$108/30</f>
        <v>58676.744151938</v>
      </c>
      <c r="S708" s="60" t="n">
        <f aca="false">(S706+S707)*Assumptions!$E$108/30</f>
        <v>61707.4248586047</v>
      </c>
      <c r="T708" s="60" t="n">
        <f aca="false">(T706+T707)*Assumptions!$E$108/30</f>
        <v>64725.098351938</v>
      </c>
      <c r="U708" s="60" t="n">
        <f aca="false">(U706+U707)*Assumptions!$E$108/30</f>
        <v>67755.7790586047</v>
      </c>
      <c r="V708" s="60" t="n">
        <f aca="false">(V706+V707)*Assumptions!$E$108/30</f>
        <v>68479.6985252713</v>
      </c>
      <c r="W708" s="60" t="n">
        <f aca="false">(W706+W707)*Assumptions!$E$108/30</f>
        <v>70516.425991938</v>
      </c>
      <c r="X708" s="60" t="n">
        <f aca="false">(X706+X707)*Assumptions!$E$108/30</f>
        <v>72553.1534586046</v>
      </c>
      <c r="Y708" s="60" t="n">
        <f aca="false">(Y706+Y707)*Assumptions!$E$108/30</f>
        <v>74589.8809252713</v>
      </c>
      <c r="Z708" s="60" t="n">
        <f aca="false">(Z706+Z707)*Assumptions!$E$108/30</f>
        <v>76626.608391938</v>
      </c>
      <c r="AA708" s="60" t="n">
        <f aca="false">(AA706+AA707)*Assumptions!$E$108/30</f>
        <v>78663.3358586047</v>
      </c>
    </row>
    <row r="709" customFormat="false" ht="15" hidden="false" customHeight="false" outlineLevel="0" collapsed="false">
      <c r="A709" s="9" t="s">
        <v>577</v>
      </c>
      <c r="B709" s="3" t="s">
        <v>62</v>
      </c>
      <c r="C709" s="29" t="n">
        <f aca="false">0</f>
        <v>0</v>
      </c>
      <c r="D709" s="29" t="n">
        <f aca="false">D706+D707-D708+C708</f>
        <v>2228.72266666667</v>
      </c>
      <c r="E709" s="29" t="n">
        <f aca="false">E706+E707-E708+D708</f>
        <v>5508.43633333333</v>
      </c>
      <c r="F709" s="29" t="n">
        <f aca="false">F706+F707-F708+E708</f>
        <v>8450.972</v>
      </c>
      <c r="G709" s="29" t="n">
        <f aca="false">G706+G707-G708+F708</f>
        <v>13505.274</v>
      </c>
      <c r="H709" s="29" t="n">
        <f aca="false">H706+H707-H708+G708</f>
        <v>19221.825</v>
      </c>
      <c r="I709" s="29" t="n">
        <f aca="false">I706+I707-I708+H708</f>
        <v>24544.2</v>
      </c>
      <c r="J709" s="29" t="n">
        <f aca="false">J706+J707-J708+I708</f>
        <v>32836.4916666667</v>
      </c>
      <c r="K709" s="29" t="n">
        <f aca="false">K706+K707-K708+J708</f>
        <v>41828.4033333333</v>
      </c>
      <c r="L709" s="29" t="n">
        <f aca="false">L706+L707-L708+K708</f>
        <v>49387.7533333333</v>
      </c>
      <c r="M709" s="29" t="n">
        <f aca="false">M706+M707-M708+L708</f>
        <v>56947.1033333333</v>
      </c>
      <c r="N709" s="29" t="n">
        <f aca="false">N706+N707-N708+M708</f>
        <v>64506.4533333333</v>
      </c>
      <c r="O709" s="29" t="n">
        <f aca="false">O706+O707-O708+N708</f>
        <v>73080.2193333333</v>
      </c>
      <c r="P709" s="29" t="n">
        <f aca="false">P706+P707-P708+O708</f>
        <v>95166.6772669767</v>
      </c>
      <c r="Q709" s="29" t="n">
        <f aca="false">Q706+Q707-Q708+P708</f>
        <v>115237.200992248</v>
      </c>
      <c r="R709" s="29" t="n">
        <f aca="false">R706+R707-R708+Q708</f>
        <v>122718.206832248</v>
      </c>
      <c r="S709" s="29" t="n">
        <f aca="false">S706+S707-S708+R708</f>
        <v>129199.515418915</v>
      </c>
      <c r="T709" s="29" t="n">
        <f aca="false">T706+T707-T708+S708</f>
        <v>135678.965832248</v>
      </c>
      <c r="U709" s="29" t="n">
        <f aca="false">U706+U707-U708+T708</f>
        <v>142160.274418915</v>
      </c>
      <c r="V709" s="29" t="n">
        <f aca="false">V706+V707-V708+U708</f>
        <v>146018.291658915</v>
      </c>
      <c r="W709" s="29" t="n">
        <f aca="false">W706+W707-W708+V708</f>
        <v>149069.899658915</v>
      </c>
      <c r="X709" s="29" t="n">
        <f aca="false">X706+X707-X708+W708</f>
        <v>153434.315658915</v>
      </c>
      <c r="Y709" s="29" t="n">
        <f aca="false">Y706+Y707-Y708+X708</f>
        <v>157798.731658915</v>
      </c>
      <c r="Z709" s="29" t="n">
        <f aca="false">Z706+Z707-Z708+Y708</f>
        <v>162163.147658915</v>
      </c>
      <c r="AA709" s="29" t="n">
        <f aca="false">AA706+AA707-AA708+Z708</f>
        <v>166527.563658915</v>
      </c>
    </row>
    <row r="710" customFormat="false" ht="15" hidden="false" customHeight="false" outlineLevel="0" collapsed="false">
      <c r="A710" s="3" t="s">
        <v>578</v>
      </c>
      <c r="B710" s="3" t="s">
        <v>62</v>
      </c>
      <c r="C710" s="38" t="n">
        <f aca="false">0</f>
        <v>0</v>
      </c>
      <c r="D710" s="38" t="n">
        <f aca="false">D543+D544+D545+D546</f>
        <v>10389.99</v>
      </c>
      <c r="E710" s="38" t="n">
        <f aca="false">E543+E544+E545+E546</f>
        <v>889.99</v>
      </c>
      <c r="F710" s="38" t="n">
        <f aca="false">F543+F544+F545+F546</f>
        <v>889.99</v>
      </c>
      <c r="G710" s="38" t="n">
        <f aca="false">G543+G544+G545+G546</f>
        <v>889.99</v>
      </c>
      <c r="H710" s="38" t="n">
        <f aca="false">H543+H544+H545+H546</f>
        <v>889.99</v>
      </c>
      <c r="I710" s="38" t="n">
        <f aca="false">I543+I544+I545+I546</f>
        <v>889.99</v>
      </c>
      <c r="J710" s="38" t="n">
        <f aca="false">J543+J544+J545+J546</f>
        <v>889.99</v>
      </c>
      <c r="K710" s="38" t="n">
        <f aca="false">K543+K544+K545+K546</f>
        <v>889.99</v>
      </c>
      <c r="L710" s="38" t="n">
        <f aca="false">L543+L544+L545+L546</f>
        <v>889.99</v>
      </c>
      <c r="M710" s="38" t="n">
        <f aca="false">M543+M544+M545+M546</f>
        <v>889.99</v>
      </c>
      <c r="N710" s="38" t="n">
        <f aca="false">N543+N544+N545+N546</f>
        <v>889.99</v>
      </c>
      <c r="O710" s="38" t="n">
        <f aca="false">O543+O544+O545+O546</f>
        <v>889.99</v>
      </c>
      <c r="P710" s="38" t="n">
        <f aca="false">P543+P544+P545+P546</f>
        <v>889.99</v>
      </c>
      <c r="Q710" s="38" t="n">
        <f aca="false">Q543+Q544+Q545+Q546</f>
        <v>889.99</v>
      </c>
      <c r="R710" s="38" t="n">
        <f aca="false">R543+R544+R545+R546</f>
        <v>889.99</v>
      </c>
      <c r="S710" s="38" t="n">
        <f aca="false">S543+S544+S545+S546</f>
        <v>889.99</v>
      </c>
      <c r="T710" s="38" t="n">
        <f aca="false">T543+T544+T545+T546</f>
        <v>889.99</v>
      </c>
      <c r="U710" s="38" t="n">
        <f aca="false">U543+U544+U545+U546</f>
        <v>889.99</v>
      </c>
      <c r="V710" s="38" t="n">
        <f aca="false">V543+V544+V545+V546</f>
        <v>2416.65666666667</v>
      </c>
      <c r="W710" s="38" t="n">
        <f aca="false">W543+W544+W545+W546</f>
        <v>2416.65666666667</v>
      </c>
      <c r="X710" s="38" t="n">
        <f aca="false">X543+X544+X545+X546</f>
        <v>2416.65666666667</v>
      </c>
      <c r="Y710" s="38" t="n">
        <f aca="false">Y543+Y544+Y545+Y546</f>
        <v>2416.65666666667</v>
      </c>
      <c r="Z710" s="38" t="n">
        <f aca="false">Z543+Z544+Z545+Z546</f>
        <v>2416.65666666667</v>
      </c>
      <c r="AA710" s="38" t="n">
        <f aca="false">AA543+AA544+AA545+AA546</f>
        <v>2416.65666666667</v>
      </c>
    </row>
    <row r="711" customFormat="false" ht="15" hidden="false" customHeight="false" outlineLevel="0" collapsed="false">
      <c r="A711" s="9" t="s">
        <v>579</v>
      </c>
      <c r="B711" s="3" t="s">
        <v>62</v>
      </c>
      <c r="C711" s="29" t="n">
        <f aca="false">C705+C710</f>
        <v>10107.1821911422</v>
      </c>
      <c r="D711" s="29" t="n">
        <f aca="false">D705+D710</f>
        <v>25003.3444988345</v>
      </c>
      <c r="E711" s="29" t="n">
        <f aca="false">E705+E710</f>
        <v>13594.304032634</v>
      </c>
      <c r="F711" s="29" t="n">
        <f aca="false">F705+F710</f>
        <v>17014.976013986</v>
      </c>
      <c r="G711" s="29" t="n">
        <f aca="false">G705+G710</f>
        <v>20761.5044988345</v>
      </c>
      <c r="H711" s="29" t="n">
        <f aca="false">H705+H710</f>
        <v>29551.6489277389</v>
      </c>
      <c r="I711" s="29" t="n">
        <f aca="false">I705+I710</f>
        <v>29523.3820745921</v>
      </c>
      <c r="J711" s="29" t="n">
        <f aca="false">J705+J710</f>
        <v>33838.1652727273</v>
      </c>
      <c r="K711" s="29" t="n">
        <f aca="false">K705+K710</f>
        <v>39813.8656966271</v>
      </c>
      <c r="L711" s="29" t="n">
        <f aca="false">L705+L710</f>
        <v>47811.3491081043</v>
      </c>
      <c r="M711" s="29" t="n">
        <f aca="false">M705+M710</f>
        <v>56286.9329721212</v>
      </c>
      <c r="N711" s="29" t="n">
        <f aca="false">N705+N710</f>
        <v>61222.2542524161</v>
      </c>
      <c r="O711" s="29" t="n">
        <f aca="false">O705+O710</f>
        <v>66812.2521923738</v>
      </c>
      <c r="P711" s="29" t="n">
        <f aca="false">P705+P710</f>
        <v>72614.9899507692</v>
      </c>
      <c r="Q711" s="29" t="n">
        <f aca="false">Q705+Q710</f>
        <v>76131.6188346853</v>
      </c>
      <c r="R711" s="29" t="n">
        <f aca="false">R705+R710</f>
        <v>79203.2351737063</v>
      </c>
      <c r="S711" s="29" t="n">
        <f aca="false">S705+S710</f>
        <v>81940.7163899301</v>
      </c>
      <c r="T711" s="29" t="n">
        <f aca="false">T705+T710</f>
        <v>84619.5817314685</v>
      </c>
      <c r="U711" s="29" t="n">
        <f aca="false">U705+U710</f>
        <v>87164.9945090909</v>
      </c>
      <c r="V711" s="29" t="n">
        <f aca="false">V705+V710</f>
        <v>88350.7939757576</v>
      </c>
      <c r="W711" s="29" t="n">
        <f aca="false">W705+W710</f>
        <v>93932.7675520945</v>
      </c>
      <c r="X711" s="29" t="n">
        <f aca="false">X705+X710</f>
        <v>103631.11193138</v>
      </c>
      <c r="Y711" s="29" t="n">
        <f aca="false">Y705+Y710</f>
        <v>113897.22798303</v>
      </c>
      <c r="Z711" s="29" t="n">
        <f aca="false">Z705+Z710</f>
        <v>116304.310771199</v>
      </c>
      <c r="AA711" s="29" t="n">
        <f aca="false">AA705+AA710</f>
        <v>120769.578960841</v>
      </c>
    </row>
    <row r="712" customFormat="false" ht="15" hidden="false" customHeight="false" outlineLevel="0" collapsed="false">
      <c r="A712" s="9" t="s">
        <v>580</v>
      </c>
      <c r="B712" s="3" t="s">
        <v>62</v>
      </c>
      <c r="C712" s="29" t="n">
        <f aca="false">C709-C711</f>
        <v>-10107.1821911422</v>
      </c>
      <c r="D712" s="29" t="n">
        <f aca="false">D709-D711</f>
        <v>-22774.6218321678</v>
      </c>
      <c r="E712" s="29" t="n">
        <f aca="false">E709-E711</f>
        <v>-8085.8676993007</v>
      </c>
      <c r="F712" s="29" t="n">
        <f aca="false">F709-F711</f>
        <v>-8564.00401398601</v>
      </c>
      <c r="G712" s="29" t="n">
        <f aca="false">G709-G711</f>
        <v>-7256.2304988345</v>
      </c>
      <c r="H712" s="29" t="n">
        <f aca="false">H709-H711</f>
        <v>-10329.8239277389</v>
      </c>
      <c r="I712" s="29" t="n">
        <f aca="false">I709-I711</f>
        <v>-4979.18207459208</v>
      </c>
      <c r="J712" s="29" t="n">
        <f aca="false">J709-J711</f>
        <v>-1001.6736060606</v>
      </c>
      <c r="K712" s="29" t="n">
        <f aca="false">K709-K711</f>
        <v>2014.53763670625</v>
      </c>
      <c r="L712" s="29" t="n">
        <f aca="false">L709-L711</f>
        <v>1576.40422522905</v>
      </c>
      <c r="M712" s="29" t="n">
        <f aca="false">M709-M711</f>
        <v>660.17036121212</v>
      </c>
      <c r="N712" s="29" t="n">
        <f aca="false">N709-N711</f>
        <v>3284.19908091722</v>
      </c>
      <c r="O712" s="29" t="n">
        <f aca="false">O709-O711</f>
        <v>6267.96714095953</v>
      </c>
      <c r="P712" s="29" t="n">
        <f aca="false">P709-P711</f>
        <v>22551.6873162075</v>
      </c>
      <c r="Q712" s="29" t="n">
        <f aca="false">Q709-Q711</f>
        <v>39105.5821575628</v>
      </c>
      <c r="R712" s="29" t="n">
        <f aca="false">R709-R711</f>
        <v>43514.9716585418</v>
      </c>
      <c r="S712" s="29" t="n">
        <f aca="false">S709-S711</f>
        <v>47258.7990289847</v>
      </c>
      <c r="T712" s="29" t="n">
        <f aca="false">T709-T711</f>
        <v>51059.3841007796</v>
      </c>
      <c r="U712" s="29" t="n">
        <f aca="false">U709-U711</f>
        <v>54995.2799098238</v>
      </c>
      <c r="V712" s="29" t="n">
        <f aca="false">V709-V711</f>
        <v>57667.4976831572</v>
      </c>
      <c r="W712" s="29" t="n">
        <f aca="false">W709-W711</f>
        <v>55137.1321068202</v>
      </c>
      <c r="X712" s="29" t="n">
        <f aca="false">X709-X711</f>
        <v>49803.2037275351</v>
      </c>
      <c r="Y712" s="29" t="n">
        <f aca="false">Y709-Y711</f>
        <v>43901.5036758844</v>
      </c>
      <c r="Z712" s="29" t="n">
        <f aca="false">Z709-Z711</f>
        <v>45858.836887716</v>
      </c>
      <c r="AA712" s="29" t="n">
        <f aca="false">AA709-AA711</f>
        <v>45757.9846980734</v>
      </c>
    </row>
    <row r="713" customFormat="false" ht="15" hidden="false" customHeight="false" outlineLevel="0" collapsed="false">
      <c r="A713" s="9" t="s">
        <v>581</v>
      </c>
      <c r="B713" s="3" t="s">
        <v>62</v>
      </c>
      <c r="C713" s="61" t="n">
        <f aca="false">Assumptions!$E$106+C712</f>
        <v>28892.8178088578</v>
      </c>
      <c r="D713" s="29" t="n">
        <f aca="false">C713+D712</f>
        <v>6118.19597668997</v>
      </c>
      <c r="E713" s="29" t="n">
        <f aca="false">D713+E712</f>
        <v>-1967.67172261072</v>
      </c>
      <c r="F713" s="29" t="n">
        <f aca="false">E713+F712</f>
        <v>-10531.6757365967</v>
      </c>
      <c r="G713" s="29" t="n">
        <f aca="false">F713+G712</f>
        <v>-17787.9062354312</v>
      </c>
      <c r="H713" s="29" t="n">
        <f aca="false">G713+H712</f>
        <v>-28117.7301631702</v>
      </c>
      <c r="I713" s="29" t="n">
        <f aca="false">H713+I712</f>
        <v>-33096.9122377622</v>
      </c>
      <c r="J713" s="29" t="n">
        <f aca="false">I713+J712</f>
        <v>-34098.5858438228</v>
      </c>
      <c r="K713" s="29" t="n">
        <f aca="false">J713+K712</f>
        <v>-32084.0482071166</v>
      </c>
      <c r="L713" s="29" t="n">
        <f aca="false">K713+L712</f>
        <v>-30507.6439818875</v>
      </c>
      <c r="M713" s="29" t="n">
        <f aca="false">L713+M712</f>
        <v>-29847.4736206754</v>
      </c>
      <c r="N713" s="29" t="n">
        <f aca="false">M713+N712</f>
        <v>-26563.2745397582</v>
      </c>
      <c r="O713" s="29" t="n">
        <f aca="false">N713+O712</f>
        <v>-20295.3073987987</v>
      </c>
      <c r="P713" s="29" t="n">
        <f aca="false">O713+P712</f>
        <v>2256.37991740885</v>
      </c>
      <c r="Q713" s="29" t="n">
        <f aca="false">P713+Q712</f>
        <v>41361.9620749716</v>
      </c>
      <c r="R713" s="29" t="n">
        <f aca="false">Q713+R712</f>
        <v>84876.9337335134</v>
      </c>
      <c r="S713" s="29" t="n">
        <f aca="false">R713+S712</f>
        <v>132135.732762498</v>
      </c>
      <c r="T713" s="29" t="n">
        <f aca="false">S713+T712</f>
        <v>183195.116863278</v>
      </c>
      <c r="U713" s="29" t="n">
        <f aca="false">T713+U712</f>
        <v>238190.396773101</v>
      </c>
      <c r="V713" s="29" t="n">
        <f aca="false">U713+V712</f>
        <v>295857.894456259</v>
      </c>
      <c r="W713" s="29" t="n">
        <f aca="false">V713+W712</f>
        <v>350995.026563079</v>
      </c>
      <c r="X713" s="29" t="n">
        <f aca="false">W713+X712</f>
        <v>400798.230290614</v>
      </c>
      <c r="Y713" s="29" t="n">
        <f aca="false">X713+Y712</f>
        <v>444699.733966498</v>
      </c>
      <c r="Z713" s="29" t="n">
        <f aca="false">Y713+Z712</f>
        <v>490558.570854214</v>
      </c>
      <c r="AA713" s="29" t="n">
        <f aca="false">Z713+AA712</f>
        <v>536316.555552288</v>
      </c>
    </row>
    <row r="714" customFormat="false" ht="15" hidden="false" customHeight="false" outlineLevel="0" collapsed="false">
      <c r="A714" s="3" t="s">
        <v>582</v>
      </c>
      <c r="B714" s="3" t="s">
        <v>471</v>
      </c>
      <c r="C714" s="30" t="n">
        <f aca="false">IF(C713&lt;0,1,0)</f>
        <v>0</v>
      </c>
      <c r="D714" s="30" t="n">
        <f aca="false">IF(D713&lt;0,1,0)</f>
        <v>0</v>
      </c>
      <c r="E714" s="30" t="n">
        <f aca="false">IF(E713&lt;0,1,0)</f>
        <v>1</v>
      </c>
      <c r="F714" s="30" t="n">
        <f aca="false">IF(F713&lt;0,1,0)</f>
        <v>1</v>
      </c>
      <c r="G714" s="30" t="n">
        <f aca="false">IF(G713&lt;0,1,0)</f>
        <v>1</v>
      </c>
      <c r="H714" s="30" t="n">
        <f aca="false">IF(H713&lt;0,1,0)</f>
        <v>1</v>
      </c>
      <c r="I714" s="30" t="n">
        <f aca="false">IF(I713&lt;0,1,0)</f>
        <v>1</v>
      </c>
      <c r="J714" s="30" t="n">
        <f aca="false">IF(J713&lt;0,1,0)</f>
        <v>1</v>
      </c>
      <c r="K714" s="30" t="n">
        <f aca="false">IF(K713&lt;0,1,0)</f>
        <v>1</v>
      </c>
      <c r="L714" s="30" t="n">
        <f aca="false">IF(L713&lt;0,1,0)</f>
        <v>1</v>
      </c>
      <c r="M714" s="30" t="n">
        <f aca="false">IF(M713&lt;0,1,0)</f>
        <v>1</v>
      </c>
      <c r="N714" s="30" t="n">
        <f aca="false">IF(N713&lt;0,1,0)</f>
        <v>1</v>
      </c>
      <c r="O714" s="30" t="n">
        <f aca="false">IF(O713&lt;0,1,0)</f>
        <v>1</v>
      </c>
      <c r="P714" s="30" t="n">
        <f aca="false">IF(P713&lt;0,1,0)</f>
        <v>0</v>
      </c>
      <c r="Q714" s="30" t="n">
        <f aca="false">IF(Q713&lt;0,1,0)</f>
        <v>0</v>
      </c>
      <c r="R714" s="30" t="n">
        <f aca="false">IF(R713&lt;0,1,0)</f>
        <v>0</v>
      </c>
      <c r="S714" s="30" t="n">
        <f aca="false">IF(S713&lt;0,1,0)</f>
        <v>0</v>
      </c>
      <c r="T714" s="30" t="n">
        <f aca="false">IF(T713&lt;0,1,0)</f>
        <v>0</v>
      </c>
      <c r="U714" s="30" t="n">
        <f aca="false">IF(U713&lt;0,1,0)</f>
        <v>0</v>
      </c>
      <c r="V714" s="30" t="n">
        <f aca="false">IF(V713&lt;0,1,0)</f>
        <v>0</v>
      </c>
      <c r="W714" s="30" t="n">
        <f aca="false">IF(W713&lt;0,1,0)</f>
        <v>0</v>
      </c>
      <c r="X714" s="30" t="n">
        <f aca="false">IF(X713&lt;0,1,0)</f>
        <v>0</v>
      </c>
      <c r="Y714" s="30" t="n">
        <f aca="false">IF(Y713&lt;0,1,0)</f>
        <v>0</v>
      </c>
      <c r="Z714" s="30" t="n">
        <f aca="false">IF(Z713&lt;0,1,0)</f>
        <v>0</v>
      </c>
      <c r="AA714" s="30" t="n">
        <f aca="false">IF(AA713&lt;0,1,0)</f>
        <v>0</v>
      </c>
    </row>
    <row r="716" customFormat="false" ht="15" hidden="false" customHeight="false" outlineLevel="0" collapsed="false">
      <c r="A716" s="9" t="s">
        <v>583</v>
      </c>
    </row>
    <row r="717" customFormat="false" ht="15" hidden="false" customHeight="false" outlineLevel="0" collapsed="false">
      <c r="A717" s="3" t="s">
        <v>584</v>
      </c>
      <c r="B717" s="3" t="s">
        <v>62</v>
      </c>
      <c r="C717" s="38" t="n">
        <f aca="false">0</f>
        <v>0</v>
      </c>
      <c r="D717" s="38" t="n">
        <f aca="false">D694*D688</f>
        <v>15640.5333333333</v>
      </c>
      <c r="E717" s="38" t="n">
        <f aca="false">E694*E688</f>
        <v>21474.7733333333</v>
      </c>
      <c r="F717" s="38" t="n">
        <f aca="false">F694*F688</f>
        <v>28015.36</v>
      </c>
      <c r="G717" s="38" t="n">
        <f aca="false">G694*G688</f>
        <v>35124.6933333333</v>
      </c>
      <c r="H717" s="38" t="n">
        <f aca="false">H694*H688</f>
        <v>42940.3733333333</v>
      </c>
      <c r="I717" s="38" t="n">
        <f aca="false">I694*I688</f>
        <v>51187.2</v>
      </c>
      <c r="J717" s="38" t="n">
        <f aca="false">J694*J688</f>
        <v>59718.4</v>
      </c>
      <c r="K717" s="38" t="n">
        <f aca="false">K694*K688</f>
        <v>68249.6</v>
      </c>
      <c r="L717" s="38" t="n">
        <f aca="false">L694*L688</f>
        <v>77496.32</v>
      </c>
      <c r="M717" s="38" t="n">
        <f aca="false">M694*M688</f>
        <v>95702.7669333333</v>
      </c>
      <c r="N717" s="38" t="n">
        <f aca="false">N694*N688</f>
        <v>114136.712533333</v>
      </c>
      <c r="O717" s="38" t="n">
        <f aca="false">O694*O688</f>
        <v>131309.8752</v>
      </c>
      <c r="P717" s="38" t="n">
        <f aca="false">P694*P688</f>
        <v>138987.9552</v>
      </c>
      <c r="Q717" s="38" t="n">
        <f aca="false">Q694*Q688</f>
        <v>145893.2736</v>
      </c>
      <c r="R717" s="38" t="n">
        <f aca="false">R694*R688</f>
        <v>152808.4992</v>
      </c>
      <c r="S717" s="38" t="n">
        <f aca="false">S694*S688</f>
        <v>159000.4992</v>
      </c>
      <c r="T717" s="38" t="n">
        <f aca="false">T694*T688</f>
        <v>164479.1808</v>
      </c>
      <c r="U717" s="38" t="n">
        <f aca="false">U694*U688</f>
        <v>169234.6368</v>
      </c>
      <c r="V717" s="38" t="n">
        <f aca="false">V694*V688</f>
        <v>168552.9024</v>
      </c>
      <c r="W717" s="38" t="n">
        <f aca="false">W694*W688</f>
        <v>173159.7504</v>
      </c>
      <c r="X717" s="38" t="n">
        <f aca="false">X694*X688</f>
        <v>177766.5984</v>
      </c>
      <c r="Y717" s="38" t="n">
        <f aca="false">Y694*Y688</f>
        <v>202114.73248</v>
      </c>
      <c r="Z717" s="38" t="n">
        <f aca="false">Z694*Z688</f>
        <v>224927.25056</v>
      </c>
      <c r="AA717" s="38" t="n">
        <f aca="false">AA694*AA688</f>
        <v>246204.15264</v>
      </c>
    </row>
    <row r="718" customFormat="false" ht="15" hidden="false" customHeight="false" outlineLevel="0" collapsed="false">
      <c r="A718" s="3" t="s">
        <v>585</v>
      </c>
      <c r="B718" s="3" t="s">
        <v>62</v>
      </c>
      <c r="C718" s="60" t="n">
        <f aca="false">SUMPRODUCT($D$698:$AC$698*(($D$696:$AC$696&lt;=C$685)*(C$685&lt;$D$697:$AC$697)*Assumptions!$E$107+($D$697:$AC$697&lt;=C$685)*(C$685&lt;$D$685:$AC$685)))</f>
        <v>10107.1821911422</v>
      </c>
      <c r="D718" s="60" t="n">
        <f aca="false">SUMPRODUCT($D$698:$AC$698*(($D$696:$AC$696&lt;=D$685)*(D$685&lt;$D$697:$AC$697)*Assumptions!$E$107+($D$697:$AC$697&lt;=D$685)*(D$685&lt;$D$685:$AC$685)))</f>
        <v>5873.92335664336</v>
      </c>
      <c r="E718" s="60" t="n">
        <f aca="false">SUMPRODUCT($D$698:$AC$698*(($D$696:$AC$696&lt;=E$685)*(E$685&lt;$D$697:$AC$697)*Assumptions!$E$107+($D$697:$AC$697&lt;=E$685)*(E$685&lt;$D$685:$AC$685)))</f>
        <v>7625.27738927739</v>
      </c>
      <c r="F718" s="60" t="n">
        <f aca="false">SUMPRODUCT($D$698:$AC$698*(($D$696:$AC$696&lt;=F$685)*(F$685&lt;$D$697:$AC$697)*Assumptions!$E$107+($D$697:$AC$697&lt;=F$685)*(F$685&lt;$D$685:$AC$685)))</f>
        <v>9531.59673659674</v>
      </c>
      <c r="G718" s="60" t="n">
        <f aca="false">SUMPRODUCT($D$698:$AC$698*(($D$696:$AC$696&lt;=G$685)*(G$685&lt;$D$697:$AC$697)*Assumptions!$E$107+($D$697:$AC$697&lt;=G$685)*(G$685&lt;$D$685:$AC$685)))</f>
        <v>11629.7779020979</v>
      </c>
      <c r="H718" s="60" t="n">
        <f aca="false">SUMPRODUCT($D$698:$AC$698*(($D$696:$AC$696&lt;=H$685)*(H$685&lt;$D$697:$AC$697)*Assumptions!$E$107+($D$697:$AC$697&lt;=H$685)*(H$685&lt;$D$685:$AC$685)))</f>
        <v>18605.6768298368</v>
      </c>
      <c r="I718" s="60" t="n">
        <f aca="false">SUMPRODUCT($D$698:$AC$698*(($D$696:$AC$696&lt;=I$685)*(I$685&lt;$D$697:$AC$697)*Assumptions!$E$107+($D$697:$AC$697&lt;=I$685)*(I$685&lt;$D$685:$AC$685)))</f>
        <v>21503.2822377622</v>
      </c>
      <c r="J718" s="60" t="n">
        <f aca="false">SUMPRODUCT($D$698:$AC$698*(($D$696:$AC$696&lt;=J$685)*(J$685&lt;$D$697:$AC$697)*Assumptions!$E$107+($D$697:$AC$697&lt;=J$685)*(J$685&lt;$D$685:$AC$685)))</f>
        <v>24592.2575104895</v>
      </c>
      <c r="K718" s="60" t="n">
        <f aca="false">SUMPRODUCT($D$698:$AC$698*(($D$696:$AC$696&lt;=K$685)*(K$685&lt;$D$697:$AC$697)*Assumptions!$E$107+($D$697:$AC$697&lt;=K$685)*(K$685&lt;$D$685:$AC$685)))</f>
        <v>29391.3332071166</v>
      </c>
      <c r="L718" s="60" t="n">
        <f aca="false">SUMPRODUCT($D$698:$AC$698*(($D$696:$AC$696&lt;=L$685)*(L$685&lt;$D$697:$AC$697)*Assumptions!$E$107+($D$697:$AC$697&lt;=L$685)*(L$685&lt;$D$685:$AC$685)))</f>
        <v>37206.7723152209</v>
      </c>
      <c r="M718" s="60" t="n">
        <f aca="false">SUMPRODUCT($D$698:$AC$698*(($D$696:$AC$696&lt;=M$685)*(M$685&lt;$D$697:$AC$697)*Assumptions!$E$107+($D$697:$AC$697&lt;=M$685)*(M$685&lt;$D$685:$AC$685)))</f>
        <v>40272.4683540088</v>
      </c>
      <c r="N718" s="60" t="n">
        <f aca="false">SUMPRODUCT($D$698:$AC$698*(($D$696:$AC$696&lt;=N$685)*(N$685&lt;$D$697:$AC$697)*Assumptions!$E$107+($D$697:$AC$697&lt;=N$685)*(N$685&lt;$D$685:$AC$685)))</f>
        <v>43780.3870064249</v>
      </c>
      <c r="O718" s="60" t="n">
        <f aca="false">SUMPRODUCT($D$698:$AC$698*(($D$696:$AC$696&lt;=O$685)*(O$685&lt;$D$697:$AC$697)*Assumptions!$E$107+($D$697:$AC$697&lt;=O$685)*(O$685&lt;$D$685:$AC$685)))</f>
        <v>48800.2065321321</v>
      </c>
      <c r="P718" s="60" t="n">
        <f aca="false">SUMPRODUCT($D$698:$AC$698*(($D$696:$AC$696&lt;=P$685)*(P$685&lt;$D$697:$AC$697)*Assumptions!$E$107+($D$697:$AC$697&lt;=P$685)*(P$685&lt;$D$685:$AC$685)))</f>
        <v>51412.6560829013</v>
      </c>
      <c r="Q718" s="60" t="n">
        <f aca="false">SUMPRODUCT($D$698:$AC$698*(($D$696:$AC$696&lt;=Q$685)*(Q$685&lt;$D$697:$AC$697)*Assumptions!$E$107+($D$697:$AC$697&lt;=Q$685)*(Q$685&lt;$D$685:$AC$685)))</f>
        <v>53707.6481175866</v>
      </c>
      <c r="R718" s="60" t="n">
        <f aca="false">SUMPRODUCT($D$698:$AC$698*(($D$696:$AC$696&lt;=R$685)*(R$685&lt;$D$697:$AC$697)*Assumptions!$E$107+($D$697:$AC$697&lt;=R$685)*(R$685&lt;$D$685:$AC$685)))</f>
        <v>55616.6436912929</v>
      </c>
      <c r="S718" s="60" t="n">
        <f aca="false">SUMPRODUCT($D$698:$AC$698*(($D$696:$AC$696&lt;=S$685)*(S$685&lt;$D$697:$AC$697)*Assumptions!$E$107+($D$697:$AC$697&lt;=S$685)*(S$685&lt;$D$685:$AC$685)))</f>
        <v>57523.779681223</v>
      </c>
      <c r="T718" s="60" t="n">
        <f aca="false">SUMPRODUCT($D$698:$AC$698*(($D$696:$AC$696&lt;=T$685)*(T$685&lt;$D$697:$AC$697)*Assumptions!$E$107+($D$697:$AC$697&lt;=T$685)*(T$685&lt;$D$685:$AC$685)))</f>
        <v>59375.3938126915</v>
      </c>
      <c r="U718" s="60" t="n">
        <f aca="false">SUMPRODUCT($D$698:$AC$698*(($D$696:$AC$696&lt;=U$685)*(U$685&lt;$D$697:$AC$697)*Assumptions!$E$107+($D$697:$AC$697&lt;=U$685)*(U$685&lt;$D$685:$AC$685)))</f>
        <v>61033.0799217824</v>
      </c>
      <c r="V718" s="60" t="n">
        <f aca="false">SUMPRODUCT($D$698:$AC$698*(($D$696:$AC$696&lt;=V$685)*(V$685&lt;$D$697:$AC$697)*Assumptions!$E$107+($D$697:$AC$697&lt;=V$685)*(V$685&lt;$D$685:$AC$685)))</f>
        <v>62690.7660308733</v>
      </c>
      <c r="W718" s="60" t="n">
        <f aca="false">SUMPRODUCT($D$698:$AC$698*(($D$696:$AC$696&lt;=W$685)*(W$685&lt;$D$697:$AC$697)*Assumptions!$E$107+($D$697:$AC$697&lt;=W$685)*(W$685&lt;$D$685:$AC$685)))</f>
        <v>67627.0017163012</v>
      </c>
      <c r="X718" s="60" t="n">
        <f aca="false">SUMPRODUCT($D$698:$AC$698*(($D$696:$AC$696&lt;=X$685)*(X$685&lt;$D$697:$AC$697)*Assumptions!$E$107+($D$697:$AC$697&lt;=X$685)*(X$685&lt;$D$685:$AC$685)))</f>
        <v>79958.1577810142</v>
      </c>
      <c r="Y718" s="60" t="n">
        <f aca="false">SUMPRODUCT($D$698:$AC$698*(($D$696:$AC$696&lt;=Y$685)*(Y$685&lt;$D$697:$AC$697)*Assumptions!$E$107+($D$697:$AC$697&lt;=Y$685)*(Y$685&lt;$D$685:$AC$685)))</f>
        <v>80510.7198173778</v>
      </c>
      <c r="Z718" s="60" t="n">
        <f aca="false">SUMPRODUCT($D$698:$AC$698*(($D$696:$AC$696&lt;=Z$685)*(Z$685&lt;$D$697:$AC$697)*Assumptions!$E$107+($D$697:$AC$697&lt;=Z$685)*(Z$685&lt;$D$685:$AC$685)))</f>
        <v>82702.5566419099</v>
      </c>
      <c r="AA718" s="60" t="n">
        <f aca="false">SUMPRODUCT($D$698:$AC$698*(($D$696:$AC$696&lt;=AA$685)*(AA$685&lt;$D$697:$AC$697)*Assumptions!$E$107+($D$697:$AC$697&lt;=AA$685)*(AA$685&lt;$D$685:$AC$685)))</f>
        <v>88591.8536560846</v>
      </c>
    </row>
    <row r="719" customFormat="false" ht="15" hidden="false" customHeight="false" outlineLevel="0" collapsed="false">
      <c r="A719" s="3" t="s">
        <v>586</v>
      </c>
      <c r="B719" s="3" t="s">
        <v>62</v>
      </c>
      <c r="C719" s="38" t="n">
        <f aca="false">0</f>
        <v>0</v>
      </c>
      <c r="D719" s="38" t="n">
        <f aca="false">D581</f>
        <v>-9417.215</v>
      </c>
      <c r="E719" s="38" t="n">
        <f aca="false">E581</f>
        <v>663.109999999999</v>
      </c>
      <c r="F719" s="38" t="n">
        <f aca="false">F581</f>
        <v>1439.66</v>
      </c>
      <c r="G719" s="38" t="n">
        <f aca="false">G581</f>
        <v>5011.635</v>
      </c>
      <c r="H719" s="38" t="n">
        <f aca="false">H581</f>
        <v>6785.93</v>
      </c>
      <c r="I719" s="38" t="n">
        <f aca="false">I581</f>
        <v>8788.675</v>
      </c>
      <c r="J719" s="38" t="n">
        <f aca="false">J581</f>
        <v>15578.76</v>
      </c>
      <c r="K719" s="38" t="n">
        <f aca="false">K581</f>
        <v>18872.51</v>
      </c>
      <c r="L719" s="38" t="n">
        <f aca="false">L581</f>
        <v>22166.26</v>
      </c>
      <c r="M719" s="38" t="n">
        <f aca="false">M581</f>
        <v>25460.01</v>
      </c>
      <c r="N719" s="38" t="n">
        <f aca="false">N581</f>
        <v>28753.76</v>
      </c>
      <c r="O719" s="38" t="n">
        <f aca="false">O581</f>
        <v>32876.26</v>
      </c>
      <c r="P719" s="38" t="n">
        <f aca="false">P581</f>
        <v>48304.4707255814</v>
      </c>
      <c r="Q719" s="38" t="n">
        <f aca="false">Q581</f>
        <v>52338.1287255814</v>
      </c>
      <c r="R719" s="38" t="n">
        <f aca="false">R581</f>
        <v>55356.8663255814</v>
      </c>
      <c r="S719" s="38" t="n">
        <f aca="false">S581</f>
        <v>58388.6157255814</v>
      </c>
      <c r="T719" s="38" t="n">
        <f aca="false">T581</f>
        <v>61407.3533255814</v>
      </c>
      <c r="U719" s="38" t="n">
        <f aca="false">U581</f>
        <v>64439.1027255814</v>
      </c>
      <c r="V719" s="38" t="n">
        <f aca="false">V581</f>
        <v>64655.9512589147</v>
      </c>
      <c r="W719" s="38" t="n">
        <f aca="false">W581</f>
        <v>66716.9432589147</v>
      </c>
      <c r="X719" s="38" t="n">
        <f aca="false">X581</f>
        <v>68777.9352589147</v>
      </c>
      <c r="Y719" s="38" t="n">
        <f aca="false">Y581</f>
        <v>70838.9272589147</v>
      </c>
      <c r="Z719" s="38" t="n">
        <f aca="false">Z581</f>
        <v>72899.9192589147</v>
      </c>
      <c r="AA719" s="38" t="n">
        <f aca="false">AA581</f>
        <v>74960.9112589147</v>
      </c>
    </row>
    <row r="720" customFormat="false" ht="15" hidden="false" customHeight="false" outlineLevel="0" collapsed="false">
      <c r="A720" s="3" t="s">
        <v>587</v>
      </c>
      <c r="B720" s="3" t="s">
        <v>62</v>
      </c>
      <c r="C720" s="38" t="n">
        <f aca="false">0</f>
        <v>0</v>
      </c>
      <c r="D720" s="38" t="n">
        <f aca="false">D719-(D708-C708)</f>
        <v>-11367.3473333333</v>
      </c>
      <c r="E720" s="38" t="n">
        <f aca="false">E719-(E708-D708)</f>
        <v>-500.273666666668</v>
      </c>
      <c r="F720" s="38" t="n">
        <f aca="false">F719-(F708-E708)</f>
        <v>-117.098000000001</v>
      </c>
      <c r="G720" s="38" t="n">
        <f aca="false">G719-(G708-F708)</f>
        <v>1951.284</v>
      </c>
      <c r="H720" s="38" t="n">
        <f aca="false">H719-(H708-G708)</f>
        <v>4461.755</v>
      </c>
      <c r="I720" s="38" t="n">
        <f aca="false">I719-(I708-H708)</f>
        <v>6165.25</v>
      </c>
      <c r="J720" s="38" t="n">
        <f aca="false">J719-(J708-I708)</f>
        <v>10618.5016666667</v>
      </c>
      <c r="K720" s="38" t="n">
        <f aca="false">K719-(K708-J708)</f>
        <v>15344.8133333333</v>
      </c>
      <c r="L720" s="38" t="n">
        <f aca="false">L719-(L708-K708)</f>
        <v>18638.5633333333</v>
      </c>
      <c r="M720" s="38" t="n">
        <f aca="false">M719-(M708-L708)</f>
        <v>21932.3133333333</v>
      </c>
      <c r="N720" s="38" t="n">
        <f aca="false">N719-(N708-M708)</f>
        <v>25226.0633333333</v>
      </c>
      <c r="O720" s="38" t="n">
        <f aca="false">O719-(O708-N708)</f>
        <v>28460.9493333333</v>
      </c>
      <c r="P720" s="38" t="n">
        <f aca="false">P719-(P708-O708)</f>
        <v>32842.2168669767</v>
      </c>
      <c r="Q720" s="38" t="n">
        <f aca="false">Q719-(Q708-P708)</f>
        <v>48305.8925922481</v>
      </c>
      <c r="R720" s="38" t="n">
        <f aca="false">R719-(R708-Q708)</f>
        <v>52339.1928322481</v>
      </c>
      <c r="S720" s="38" t="n">
        <f aca="false">S719-(S708-R708)</f>
        <v>55357.9350189147</v>
      </c>
      <c r="T720" s="38" t="n">
        <f aca="false">T719-(T708-S708)</f>
        <v>58389.6798322481</v>
      </c>
      <c r="U720" s="38" t="n">
        <f aca="false">U719-(U708-T708)</f>
        <v>61408.4220189147</v>
      </c>
      <c r="V720" s="38" t="n">
        <f aca="false">V719-(V708-U708)</f>
        <v>63932.031792248</v>
      </c>
      <c r="W720" s="38" t="n">
        <f aca="false">W719-(W708-V708)</f>
        <v>64680.2157922481</v>
      </c>
      <c r="X720" s="38" t="n">
        <f aca="false">X719-(X708-W708)</f>
        <v>66741.2077922481</v>
      </c>
      <c r="Y720" s="38" t="n">
        <f aca="false">Y719-(Y708-X708)</f>
        <v>68802.1997922481</v>
      </c>
      <c r="Z720" s="38" t="n">
        <f aca="false">Z719-(Z708-Y708)</f>
        <v>70863.191792248</v>
      </c>
      <c r="AA720" s="38" t="n">
        <f aca="false">AA719-(AA708-Z708)</f>
        <v>72924.1837922481</v>
      </c>
    </row>
    <row r="722" customFormat="false" ht="15" hidden="false" customHeight="false" outlineLevel="0" collapsed="false">
      <c r="A722" s="5" t="s">
        <v>588</v>
      </c>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row>
    <row r="723" customFormat="false" ht="15" hidden="false" customHeight="false" outlineLevel="0" collapsed="false">
      <c r="A723" s="3" t="s">
        <v>589</v>
      </c>
      <c r="C723" s="63" t="n">
        <f aca="false">MIN($C$713:$AA$713)</f>
        <v>-34098.5858438228</v>
      </c>
    </row>
    <row r="724" customFormat="false" ht="15" hidden="false" customHeight="false" outlineLevel="0" collapsed="false">
      <c r="A724" s="3" t="s">
        <v>590</v>
      </c>
      <c r="C724" s="64" t="n">
        <f aca="false">INDEX($C$685:$AA$685,1,MATCH(C723,$C$713:$AA$713,0))</f>
        <v>7</v>
      </c>
    </row>
    <row r="725" customFormat="false" ht="15" hidden="false" customHeight="false" outlineLevel="0" collapsed="false">
      <c r="A725" s="3" t="s">
        <v>591</v>
      </c>
      <c r="C725" s="63" t="n">
        <f aca="false">MIN(C723,$C$744:$E$744)</f>
        <v>-34098.5858438228</v>
      </c>
    </row>
    <row r="726" customFormat="false" ht="15" hidden="false" customHeight="false" outlineLevel="0" collapsed="false">
      <c r="A726" s="3" t="s">
        <v>592</v>
      </c>
      <c r="C726" s="8" t="str">
        <f aca="false">IF(C723&lt;=MIN($C$744:$E$744),"Month "&amp;C724,CHOOSE(MATCH(C725,$C$744:$E$744,0),"Year 3","Year 4","Year 5"))</f>
        <v>Month 7</v>
      </c>
    </row>
    <row r="727" customFormat="false" ht="15" hidden="false" customHeight="false" outlineLevel="0" collapsed="false">
      <c r="A727" s="3" t="s">
        <v>593</v>
      </c>
      <c r="C727" s="64" t="n">
        <f aca="false">IF(C723&lt;=MIN($C$744:$E$744),C724,24+12*MATCH(C725,$C$744:$E$744,0))</f>
        <v>7</v>
      </c>
    </row>
    <row r="728" customFormat="false" ht="15" hidden="false" customHeight="false" outlineLevel="0" collapsed="false">
      <c r="A728" s="3" t="s">
        <v>594</v>
      </c>
      <c r="C728" s="63" t="n">
        <f aca="false">MAX(0,-C725)</f>
        <v>34098.5858438228</v>
      </c>
    </row>
    <row r="729" customFormat="false" ht="15" hidden="false" customHeight="false" outlineLevel="0" collapsed="false">
      <c r="A729" s="3" t="s">
        <v>595</v>
      </c>
      <c r="C729" s="67" t="n">
        <f aca="false">C728*Assumptions!$E$110</f>
        <v>40918.3030125874</v>
      </c>
    </row>
    <row r="730" customFormat="false" ht="15" hidden="false" customHeight="false" outlineLevel="0" collapsed="false">
      <c r="A730" s="3" t="s">
        <v>596</v>
      </c>
      <c r="C730" s="64" t="n">
        <f aca="false">IFERROR(MAX(0,INDEX($C$685:$AA$685,1,MATCH(1,$C$714:$AA$714,0))-1),"none")</f>
        <v>1</v>
      </c>
    </row>
    <row r="731" customFormat="false" ht="15" hidden="false" customHeight="false" outlineLevel="0" collapsed="false">
      <c r="A731" s="3" t="s">
        <v>597</v>
      </c>
      <c r="C731" s="38" t="n">
        <f aca="false">AVERAGE($G$712:$I$712)</f>
        <v>-7521.7455003885</v>
      </c>
    </row>
    <row r="732" customFormat="false" ht="15" hidden="false" customHeight="false" outlineLevel="0" collapsed="false">
      <c r="A732" s="3" t="s">
        <v>598</v>
      </c>
      <c r="C732" s="68" t="n">
        <f aca="false">IF(C731&lt;0,MAX(0,$F$713)/-C731,"funded")</f>
        <v>0</v>
      </c>
    </row>
    <row r="733" customFormat="false" ht="15" hidden="false" customHeight="false" outlineLevel="0" collapsed="false">
      <c r="A733" s="3" t="s">
        <v>599</v>
      </c>
      <c r="B733" s="3" t="s">
        <v>62</v>
      </c>
      <c r="C733" s="38" t="n">
        <f aca="false">IF(C$685=$C$730,$C$729,0)</f>
        <v>0</v>
      </c>
      <c r="D733" s="38" t="n">
        <f aca="false">IF(D$685=$C$730,$C$729,0)</f>
        <v>40918.3030125874</v>
      </c>
      <c r="E733" s="38" t="n">
        <f aca="false">IF(E$685=$C$730,$C$729,0)</f>
        <v>0</v>
      </c>
      <c r="F733" s="38" t="n">
        <f aca="false">IF(F$685=$C$730,$C$729,0)</f>
        <v>0</v>
      </c>
      <c r="G733" s="38" t="n">
        <f aca="false">IF(G$685=$C$730,$C$729,0)</f>
        <v>0</v>
      </c>
      <c r="H733" s="38" t="n">
        <f aca="false">IF(H$685=$C$730,$C$729,0)</f>
        <v>0</v>
      </c>
      <c r="I733" s="38" t="n">
        <f aca="false">IF(I$685=$C$730,$C$729,0)</f>
        <v>0</v>
      </c>
      <c r="J733" s="38" t="n">
        <f aca="false">IF(J$685=$C$730,$C$729,0)</f>
        <v>0</v>
      </c>
      <c r="K733" s="38" t="n">
        <f aca="false">IF(K$685=$C$730,$C$729,0)</f>
        <v>0</v>
      </c>
      <c r="L733" s="38" t="n">
        <f aca="false">IF(L$685=$C$730,$C$729,0)</f>
        <v>0</v>
      </c>
      <c r="M733" s="38" t="n">
        <f aca="false">IF(M$685=$C$730,$C$729,0)</f>
        <v>0</v>
      </c>
      <c r="N733" s="38" t="n">
        <f aca="false">IF(N$685=$C$730,$C$729,0)</f>
        <v>0</v>
      </c>
      <c r="O733" s="38" t="n">
        <f aca="false">IF(O$685=$C$730,$C$729,0)</f>
        <v>0</v>
      </c>
      <c r="P733" s="38" t="n">
        <f aca="false">IF(P$685=$C$730,$C$729,0)</f>
        <v>0</v>
      </c>
      <c r="Q733" s="38" t="n">
        <f aca="false">IF(Q$685=$C$730,$C$729,0)</f>
        <v>0</v>
      </c>
      <c r="R733" s="38" t="n">
        <f aca="false">IF(R$685=$C$730,$C$729,0)</f>
        <v>0</v>
      </c>
      <c r="S733" s="38" t="n">
        <f aca="false">IF(S$685=$C$730,$C$729,0)</f>
        <v>0</v>
      </c>
      <c r="T733" s="38" t="n">
        <f aca="false">IF(T$685=$C$730,$C$729,0)</f>
        <v>0</v>
      </c>
      <c r="U733" s="38" t="n">
        <f aca="false">IF(U$685=$C$730,$C$729,0)</f>
        <v>0</v>
      </c>
      <c r="V733" s="38" t="n">
        <f aca="false">IF(V$685=$C$730,$C$729,0)</f>
        <v>0</v>
      </c>
      <c r="W733" s="38" t="n">
        <f aca="false">IF(W$685=$C$730,$C$729,0)</f>
        <v>0</v>
      </c>
      <c r="X733" s="38" t="n">
        <f aca="false">IF(X$685=$C$730,$C$729,0)</f>
        <v>0</v>
      </c>
      <c r="Y733" s="38" t="n">
        <f aca="false">IF(Y$685=$C$730,$C$729,0)</f>
        <v>0</v>
      </c>
      <c r="Z733" s="38" t="n">
        <f aca="false">IF(Z$685=$C$730,$C$729,0)</f>
        <v>0</v>
      </c>
      <c r="AA733" s="38" t="n">
        <f aca="false">IF(AA$685=$C$730,$C$729,0)</f>
        <v>0</v>
      </c>
    </row>
    <row r="734" customFormat="false" ht="15" hidden="false" customHeight="false" outlineLevel="0" collapsed="false">
      <c r="A734" s="9" t="s">
        <v>600</v>
      </c>
      <c r="B734" s="3" t="s">
        <v>62</v>
      </c>
      <c r="C734" s="29" t="n">
        <f aca="false">C713+C733</f>
        <v>28892.8178088578</v>
      </c>
      <c r="D734" s="29" t="n">
        <f aca="false">C734+D712+D733</f>
        <v>47036.4989892774</v>
      </c>
      <c r="E734" s="29" t="n">
        <f aca="false">D734+E712+E733</f>
        <v>38950.6312899767</v>
      </c>
      <c r="F734" s="29" t="n">
        <f aca="false">E734+F712+F733</f>
        <v>30386.6272759907</v>
      </c>
      <c r="G734" s="29" t="n">
        <f aca="false">F734+G712+G733</f>
        <v>23130.3967771562</v>
      </c>
      <c r="H734" s="29" t="n">
        <f aca="false">G734+H712+H733</f>
        <v>12800.5728494172</v>
      </c>
      <c r="I734" s="29" t="n">
        <f aca="false">H734+I712+I733</f>
        <v>7821.39077482516</v>
      </c>
      <c r="J734" s="29" t="n">
        <f aca="false">I734+J712+J733</f>
        <v>6819.71716876456</v>
      </c>
      <c r="K734" s="29" t="n">
        <f aca="false">J734+K712+K733</f>
        <v>8834.25480547081</v>
      </c>
      <c r="L734" s="29" t="n">
        <f aca="false">K734+L712+L733</f>
        <v>10410.6590306999</v>
      </c>
      <c r="M734" s="29" t="n">
        <f aca="false">L734+M712+M733</f>
        <v>11070.829391912</v>
      </c>
      <c r="N734" s="29" t="n">
        <f aca="false">M734+N712+N733</f>
        <v>14355.0284728292</v>
      </c>
      <c r="O734" s="29" t="n">
        <f aca="false">N734+O712+O733</f>
        <v>20622.9956137887</v>
      </c>
      <c r="P734" s="29" t="n">
        <f aca="false">O734+P712+P733</f>
        <v>43174.6829299963</v>
      </c>
      <c r="Q734" s="29" t="n">
        <f aca="false">P734+Q712+Q733</f>
        <v>82280.265087559</v>
      </c>
      <c r="R734" s="29" t="n">
        <f aca="false">Q734+R712+R733</f>
        <v>125795.236746101</v>
      </c>
      <c r="S734" s="29" t="n">
        <f aca="false">R734+S712+S733</f>
        <v>173054.035775085</v>
      </c>
      <c r="T734" s="29" t="n">
        <f aca="false">S734+T712+T733</f>
        <v>224113.419875865</v>
      </c>
      <c r="U734" s="29" t="n">
        <f aca="false">T734+U712+U733</f>
        <v>279108.699785689</v>
      </c>
      <c r="V734" s="29" t="n">
        <f aca="false">U734+V712+V733</f>
        <v>336776.197468846</v>
      </c>
      <c r="W734" s="29" t="n">
        <f aca="false">V734+W712+W733</f>
        <v>391913.329575666</v>
      </c>
      <c r="X734" s="29" t="n">
        <f aca="false">W734+X712+X733</f>
        <v>441716.533303201</v>
      </c>
      <c r="Y734" s="29" t="n">
        <f aca="false">X734+Y712+Y733</f>
        <v>485618.036979086</v>
      </c>
      <c r="Z734" s="29" t="n">
        <f aca="false">Y734+Z712+Z733</f>
        <v>531476.873866802</v>
      </c>
      <c r="AA734" s="29" t="n">
        <f aca="false">Z734+AA712+AA733</f>
        <v>577234.858564875</v>
      </c>
    </row>
    <row r="735" customFormat="false" ht="15" hidden="false" customHeight="false" outlineLevel="0" collapsed="false">
      <c r="A735" s="3" t="s">
        <v>601</v>
      </c>
      <c r="C735" s="68" t="n">
        <f aca="false">IF(C731&lt;0,MAX(0,$F$734)/-C731,"funded")</f>
        <v>4.03983719928056</v>
      </c>
    </row>
    <row r="737" customFormat="false" ht="15" hidden="false" customHeight="false" outlineLevel="0" collapsed="false">
      <c r="A737" s="9" t="s">
        <v>602</v>
      </c>
      <c r="C737" s="14" t="s">
        <v>512</v>
      </c>
      <c r="D737" s="14" t="s">
        <v>513</v>
      </c>
      <c r="E737" s="14" t="s">
        <v>514</v>
      </c>
    </row>
    <row r="738" customFormat="false" ht="15" hidden="false" customHeight="false" outlineLevel="0" collapsed="false">
      <c r="A738" s="3" t="s">
        <v>603</v>
      </c>
      <c r="C738" s="38" t="n">
        <f aca="false">E674</f>
        <v>1133101.62452019</v>
      </c>
      <c r="D738" s="38" t="n">
        <f aca="false">F674</f>
        <v>1557531.67807319</v>
      </c>
      <c r="E738" s="38" t="n">
        <f aca="false">G674</f>
        <v>1838289.82358973</v>
      </c>
    </row>
    <row r="739" customFormat="false" ht="15" hidden="false" customHeight="false" outlineLevel="0" collapsed="false">
      <c r="A739" s="3" t="s">
        <v>604</v>
      </c>
      <c r="C739" s="60" t="n">
        <f aca="false">E664*Assumptions!$E$105/365</f>
        <v>343522.188488637</v>
      </c>
      <c r="D739" s="60" t="n">
        <f aca="false">F664*Assumptions!$E$105/365</f>
        <v>525955.116514781</v>
      </c>
      <c r="E739" s="60" t="n">
        <f aca="false">G664*Assumptions!$E$105/365</f>
        <v>708931.425000834</v>
      </c>
    </row>
    <row r="740" customFormat="false" ht="15" hidden="false" customHeight="false" outlineLevel="0" collapsed="false">
      <c r="A740" s="3" t="s">
        <v>605</v>
      </c>
      <c r="C740" s="60" t="n">
        <f aca="false">E663*Assumptions!$E$109/365</f>
        <v>169399.018050164</v>
      </c>
      <c r="D740" s="60" t="n">
        <f aca="false">F663*Assumptions!$E$109/365</f>
        <v>248101.348136799</v>
      </c>
      <c r="E740" s="60" t="n">
        <f aca="false">G663*Assumptions!$E$109/365</f>
        <v>318225.897682216</v>
      </c>
    </row>
    <row r="741" customFormat="false" ht="15" hidden="false" customHeight="false" outlineLevel="0" collapsed="false">
      <c r="A741" s="3" t="s">
        <v>606</v>
      </c>
      <c r="C741" s="38" t="n">
        <f aca="false">C739-($AA$717+$AA$718)</f>
        <v>8726.18219255272</v>
      </c>
      <c r="D741" s="38" t="n">
        <f aca="false">D739-C739</f>
        <v>182432.928026143</v>
      </c>
      <c r="E741" s="38" t="n">
        <f aca="false">E739-D739</f>
        <v>182976.308486053</v>
      </c>
    </row>
    <row r="742" customFormat="false" ht="15" hidden="false" customHeight="false" outlineLevel="0" collapsed="false">
      <c r="A742" s="3" t="s">
        <v>607</v>
      </c>
      <c r="C742" s="38" t="n">
        <f aca="false">C740-$AA$708</f>
        <v>90735.6821915597</v>
      </c>
      <c r="D742" s="38" t="n">
        <f aca="false">D740-C740</f>
        <v>78702.3300866351</v>
      </c>
      <c r="E742" s="38" t="n">
        <f aca="false">E740-D740</f>
        <v>70124.5495454167</v>
      </c>
    </row>
    <row r="743" customFormat="false" ht="15" hidden="false" customHeight="false" outlineLevel="0" collapsed="false">
      <c r="A743" s="3" t="s">
        <v>580</v>
      </c>
      <c r="C743" s="38" t="n">
        <f aca="false">C738-C741-C742</f>
        <v>1033639.76013608</v>
      </c>
      <c r="D743" s="38" t="n">
        <f aca="false">D738-D741-D742</f>
        <v>1296396.41996041</v>
      </c>
      <c r="E743" s="38" t="n">
        <f aca="false">E738-E741-E742</f>
        <v>1585188.96555826</v>
      </c>
    </row>
    <row r="744" customFormat="false" ht="15" hidden="false" customHeight="false" outlineLevel="0" collapsed="false">
      <c r="A744" s="3" t="s">
        <v>608</v>
      </c>
      <c r="C744" s="29" t="n">
        <f aca="false">$AA$713+C743</f>
        <v>1569956.31568836</v>
      </c>
      <c r="D744" s="29" t="n">
        <f aca="false">C744+D743</f>
        <v>2866352.73564878</v>
      </c>
      <c r="E744" s="29" t="n">
        <f aca="false">D744+E743</f>
        <v>4451541.70120703</v>
      </c>
    </row>
    <row r="745" customFormat="false" ht="15" hidden="false" customHeight="false" outlineLevel="0" collapsed="false">
      <c r="A745" s="3" t="s">
        <v>609</v>
      </c>
      <c r="C745" s="29" t="n">
        <f aca="false">$AA$734+C743</f>
        <v>1610874.61870095</v>
      </c>
      <c r="D745" s="29" t="n">
        <f aca="false">C745+D743</f>
        <v>2907271.03866136</v>
      </c>
      <c r="E745" s="29" t="n">
        <f aca="false">D745+E743</f>
        <v>4492460.00421962</v>
      </c>
    </row>
    <row r="747" customFormat="false" ht="15" hidden="false" customHeight="false" outlineLevel="0" collapsed="false">
      <c r="A747" s="4" t="s">
        <v>610</v>
      </c>
    </row>
    <row r="748" customFormat="false" ht="15" hidden="false" customHeight="false" outlineLevel="0" collapsed="false">
      <c r="A748" s="4" t="s">
        <v>611</v>
      </c>
    </row>
    <row r="750" customFormat="false" ht="15" hidden="false" customHeight="false" outlineLevel="0" collapsed="false">
      <c r="A750" s="5" t="s">
        <v>865</v>
      </c>
      <c r="B750" s="15"/>
      <c r="C750" s="15"/>
      <c r="D750" s="15"/>
      <c r="E750" s="15"/>
      <c r="F750" s="15"/>
      <c r="G750" s="15"/>
      <c r="H750" s="15"/>
    </row>
    <row r="751" customFormat="false" ht="15" hidden="false" customHeight="false" outlineLevel="0" collapsed="false">
      <c r="A751" s="14" t="s">
        <v>643</v>
      </c>
      <c r="B751" s="14" t="s">
        <v>644</v>
      </c>
      <c r="C751" s="14" t="s">
        <v>645</v>
      </c>
      <c r="D751" s="14" t="s">
        <v>646</v>
      </c>
      <c r="E751" s="14" t="s">
        <v>647</v>
      </c>
      <c r="F751" s="14" t="s">
        <v>648</v>
      </c>
      <c r="G751" s="14" t="s">
        <v>59</v>
      </c>
    </row>
    <row r="752" customFormat="false" ht="15" hidden="false" customHeight="false" outlineLevel="0" collapsed="false">
      <c r="A752" s="9" t="s">
        <v>649</v>
      </c>
    </row>
    <row r="753" customFormat="false" ht="15" hidden="false" customHeight="false" outlineLevel="0" collapsed="false">
      <c r="A753" s="3" t="s">
        <v>650</v>
      </c>
      <c r="B753" s="3" t="s">
        <v>651</v>
      </c>
      <c r="C753" s="7" t="str">
        <f aca="false">"at or above "&amp;TEXT(Assumptions!$E$114,"0%")</f>
        <v>at or above 8%</v>
      </c>
      <c r="D753" s="7" t="str">
        <f aca="false">"hero below "&amp;TEXT(Assumptions!$E$115,"0%")</f>
        <v>hero below 5%</v>
      </c>
      <c r="E753" s="3" t="str">
        <f aca="false">"observed"</f>
        <v>observed</v>
      </c>
      <c r="F753" s="3" t="str">
        <f aca="false">"observed"</f>
        <v>observed</v>
      </c>
      <c r="G753" s="3" t="s">
        <v>652</v>
      </c>
    </row>
    <row r="754" customFormat="false" ht="15" hidden="false" customHeight="false" outlineLevel="0" collapsed="false">
      <c r="A754" s="3" t="s">
        <v>653</v>
      </c>
      <c r="B754" s="34" t="n">
        <f aca="false">$F$550</f>
        <v>0.26</v>
      </c>
      <c r="C754" s="7" t="str">
        <f aca="false">"at or below "&amp;TEXT(Assumptions!$E$116,"0%")</f>
        <v>at or below 30%</v>
      </c>
      <c r="D754" s="7" t="str">
        <f aca="false">"above "&amp;TEXT(Assumptions!$E$117,"0%")</f>
        <v>above 40%</v>
      </c>
      <c r="E754" s="72" t="b">
        <f aca="false">B754&lt;=Assumptions!$E$116</f>
        <v>1</v>
      </c>
      <c r="F754" s="72" t="b">
        <f aca="false">B754&gt;Assumptions!$E$117</f>
        <v>0</v>
      </c>
      <c r="G754" s="3" t="s">
        <v>654</v>
      </c>
    </row>
    <row r="755" customFormat="false" ht="15" hidden="false" customHeight="false" outlineLevel="0" collapsed="false">
      <c r="A755" s="3" t="s">
        <v>655</v>
      </c>
      <c r="B755" s="34" t="n">
        <f aca="false">$F$558</f>
        <v>0.025</v>
      </c>
      <c r="C755" s="7" t="str">
        <f aca="false">"at or below "&amp;TEXT(Assumptions!$E$118,"0%")</f>
        <v>at or below 4%</v>
      </c>
      <c r="D755" s="7" t="str">
        <f aca="false">"above "&amp;TEXT(Assumptions!$E$119,"0%")</f>
        <v>above 7%</v>
      </c>
      <c r="E755" s="72" t="b">
        <f aca="false">B755&lt;=Assumptions!$E$118</f>
        <v>1</v>
      </c>
      <c r="F755" s="72" t="b">
        <f aca="false">B755&gt;Assumptions!$E$119</f>
        <v>0</v>
      </c>
      <c r="G755" s="3"/>
    </row>
    <row r="756" customFormat="false" ht="15" hidden="false" customHeight="false" outlineLevel="0" collapsed="false">
      <c r="A756" s="3" t="s">
        <v>656</v>
      </c>
      <c r="B756" s="40" t="n">
        <f aca="false">$F$551</f>
        <v>15.355</v>
      </c>
      <c r="C756" s="7" t="str">
        <f aca="false">"at or above "&amp;TEXT(Assumptions!$E$120,"$#,##0;($#,##0)")</f>
        <v>at or above $11</v>
      </c>
      <c r="D756" s="7" t="str">
        <f aca="false">"hero below "&amp;TEXT(Assumptions!$E$121,"$#,##0;($#,##0)")</f>
        <v>hero below $8</v>
      </c>
      <c r="E756" s="72" t="b">
        <f aca="false">B756&gt;=Assumptions!$E$120</f>
        <v>1</v>
      </c>
      <c r="F756" s="72" t="b">
        <f aca="false">B756&lt;Assumptions!$E$121</f>
        <v>0</v>
      </c>
      <c r="G756" s="3" t="s">
        <v>657</v>
      </c>
    </row>
    <row r="757" customFormat="false" ht="15" hidden="false" customHeight="false" outlineLevel="0" collapsed="false">
      <c r="A757" s="3" t="s">
        <v>658</v>
      </c>
      <c r="B757" s="77" t="n">
        <f aca="false">$C$735</f>
        <v>4.03983719928056</v>
      </c>
      <c r="C757" s="7" t="str">
        <f aca="false">"at or above "&amp;TEXT(Assumptions!$E$122,"0")&amp;" months"</f>
        <v>at or above 4 months</v>
      </c>
      <c r="D757" s="7" t="str">
        <f aca="false">"below "&amp;TEXT(Assumptions!$E$123,"0")&amp;" months"</f>
        <v>below 2 months</v>
      </c>
      <c r="E757" s="72" t="b">
        <f aca="false">IF(ISNUMBER(B757),B757&gt;=Assumptions!$E$122,TRUE())</f>
        <v>1</v>
      </c>
      <c r="F757" s="72" t="b">
        <f aca="false">IF(ISNUMBER(B757),B757&lt;Assumptions!$E$123,FALSE())</f>
        <v>0</v>
      </c>
      <c r="G757" s="3" t="s">
        <v>659</v>
      </c>
    </row>
    <row r="758" customFormat="false" ht="15" hidden="false" customHeight="false" outlineLevel="0" collapsed="false">
      <c r="A758" s="3" t="s">
        <v>660</v>
      </c>
      <c r="B758" s="3" t="s">
        <v>651</v>
      </c>
      <c r="C758" s="3" t="s">
        <v>661</v>
      </c>
      <c r="D758" s="7" t="str">
        <f aca="false">"any open more than "&amp;TEXT(Assumptions!$E$124,"0")&amp;" days"</f>
        <v>any open more than 14 days</v>
      </c>
      <c r="E758" s="3" t="str">
        <f aca="false">"observed"</f>
        <v>observed</v>
      </c>
      <c r="F758" s="3" t="str">
        <f aca="false">"observed"</f>
        <v>observed</v>
      </c>
      <c r="G758" s="3" t="s">
        <v>662</v>
      </c>
    </row>
    <row r="759" customFormat="false" ht="15" hidden="false" customHeight="false" outlineLevel="0" collapsed="false">
      <c r="A759" s="9" t="s">
        <v>663</v>
      </c>
      <c r="B759" s="8" t="str">
        <f aca="false">IF(OR(F754,F755,F756,F757),"KILL",IF(AND(E754,E755,E756,E757),"PASS","REVIEW"))</f>
        <v>PASS</v>
      </c>
      <c r="G759" s="3" t="s">
        <v>664</v>
      </c>
    </row>
    <row r="761" customFormat="false" ht="15" hidden="false" customHeight="false" outlineLevel="0" collapsed="false">
      <c r="A761" s="9" t="s">
        <v>665</v>
      </c>
    </row>
    <row r="762" customFormat="false" ht="15" hidden="false" customHeight="false" outlineLevel="0" collapsed="false">
      <c r="A762" s="3" t="s">
        <v>666</v>
      </c>
      <c r="B762" s="38" t="n">
        <f aca="false">$O$535</f>
        <v>136654</v>
      </c>
      <c r="C762" s="7" t="str">
        <f aca="false">"at or above "&amp;TEXT(Assumptions!$E$125,"$#,##0;($#,##0)")</f>
        <v>at or above $70,000</v>
      </c>
      <c r="D762" s="7" t="str">
        <f aca="false">"below "&amp;TEXT(Assumptions!$E$126,"$#,##0;($#,##0)")</f>
        <v>below $50,000</v>
      </c>
      <c r="E762" s="72" t="b">
        <f aca="false">B762&gt;=Assumptions!$E$125</f>
        <v>1</v>
      </c>
      <c r="F762" s="72" t="b">
        <f aca="false">B762&lt;Assumptions!$E$126</f>
        <v>0</v>
      </c>
      <c r="G762" s="3" t="s">
        <v>667</v>
      </c>
    </row>
    <row r="763" customFormat="false" ht="15" hidden="false" customHeight="false" outlineLevel="0" collapsed="false">
      <c r="A763" s="3" t="s">
        <v>668</v>
      </c>
      <c r="B763" s="38" t="n">
        <f aca="false">$O$548</f>
        <v>156979.355</v>
      </c>
      <c r="C763" s="7" t="str">
        <f aca="false">"at or above "&amp;TEXT(Assumptions!$E$127,"$#,##0;($#,##0)")</f>
        <v>at or above $0</v>
      </c>
      <c r="D763" s="7" t="str">
        <f aca="false">"below "&amp;TEXT(Assumptions!$E$128,"$#,##0;($#,##0)")</f>
        <v>below ($25,000)</v>
      </c>
      <c r="E763" s="72" t="b">
        <f aca="false">B763&gt;=Assumptions!$E$127</f>
        <v>1</v>
      </c>
      <c r="F763" s="72" t="b">
        <f aca="false">B763&lt;Assumptions!$E$128</f>
        <v>0</v>
      </c>
      <c r="G763" s="3"/>
    </row>
    <row r="764" customFormat="false" ht="15" hidden="false" customHeight="false" outlineLevel="0" collapsed="false">
      <c r="A764" s="3" t="s">
        <v>669</v>
      </c>
      <c r="B764" s="34" t="n">
        <f aca="false">$O$550</f>
        <v>0.11</v>
      </c>
      <c r="C764" s="7" t="str">
        <f aca="false">"at or below "&amp;TEXT(Assumptions!$E$129,"0%")</f>
        <v>at or below 15%</v>
      </c>
      <c r="D764" s="7" t="str">
        <f aca="false">"above "&amp;TEXT(Assumptions!$E$130,"0%")</f>
        <v>above 25%</v>
      </c>
      <c r="E764" s="72" t="b">
        <f aca="false">B764&lt;=Assumptions!$E$129</f>
        <v>1</v>
      </c>
      <c r="F764" s="72" t="b">
        <f aca="false">B764&gt;Assumptions!$E$130</f>
        <v>0</v>
      </c>
      <c r="G764" s="3"/>
    </row>
    <row r="765" customFormat="false" ht="15" hidden="false" customHeight="false" outlineLevel="0" collapsed="false">
      <c r="A765" s="3" t="s">
        <v>670</v>
      </c>
      <c r="B765" s="34" t="n">
        <f aca="false">$O$558</f>
        <v>0.025</v>
      </c>
      <c r="C765" s="7" t="str">
        <f aca="false">"at or below "&amp;TEXT(Assumptions!$E$131,"0%")</f>
        <v>at or below 3%</v>
      </c>
      <c r="D765" s="7" t="str">
        <f aca="false">"above "&amp;TEXT(Assumptions!$E$132,"0%")</f>
        <v>above 5%</v>
      </c>
      <c r="E765" s="72" t="b">
        <f aca="false">B765&lt;=Assumptions!$E$131</f>
        <v>1</v>
      </c>
      <c r="F765" s="72" t="b">
        <f aca="false">B765&gt;Assumptions!$E$132</f>
        <v>0</v>
      </c>
      <c r="G765" s="3"/>
    </row>
    <row r="766" customFormat="false" ht="15" hidden="false" customHeight="false" outlineLevel="0" collapsed="false">
      <c r="A766" s="3" t="s">
        <v>671</v>
      </c>
      <c r="B766" s="38" t="n">
        <f aca="false">MIN($N$720,$O$720)</f>
        <v>25226.0633333333</v>
      </c>
      <c r="C766" s="3" t="s">
        <v>672</v>
      </c>
      <c r="D766" s="7" t="str">
        <f aca="false">"negative in Months 10, 11 and 12 with a funding gap above "&amp;TEXT(Assumptions!$E$133,"$#,##0;($#,##0)")</f>
        <v>negative in Months 10, 11 and 12 with a funding gap above $50,000</v>
      </c>
      <c r="E766" s="74" t="b">
        <f aca="false">B766&gt;0</f>
        <v>1</v>
      </c>
      <c r="F766" s="72" t="b">
        <f aca="false">AND($M$720&lt;0,$N$720&lt;0,$O$720&lt;0,$C$729&gt;Assumptions!$E$133)</f>
        <v>0</v>
      </c>
      <c r="G766" s="3" t="s">
        <v>866</v>
      </c>
    </row>
    <row r="767" customFormat="false" ht="15" hidden="false" customHeight="false" outlineLevel="0" collapsed="false">
      <c r="A767" s="9" t="s">
        <v>674</v>
      </c>
      <c r="B767" s="8" t="str">
        <f aca="false">IF(OR(F762,F763,F764,F765,F766),"KILL",IF(AND(E762,E763,E764,E765,E766),"PASS","REVIEW"))</f>
        <v>PASS</v>
      </c>
      <c r="G767" s="3" t="s">
        <v>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0"/>
    <col collapsed="false" customWidth="true" hidden="false" outlineLevel="0" max="2" min="2" style="1" width="12"/>
    <col collapsed="false" customWidth="true" hidden="false" outlineLevel="0" max="5" min="3" style="1" width="14"/>
    <col collapsed="false" customWidth="true" hidden="false" outlineLevel="0" max="6" min="6" style="1" width="44"/>
  </cols>
  <sheetData>
    <row r="1" customFormat="false" ht="17.35" hidden="false" customHeight="false" outlineLevel="0" collapsed="false">
      <c r="A1" s="11" t="s">
        <v>867</v>
      </c>
    </row>
    <row r="2" customFormat="false" ht="15" hidden="false" customHeight="false" outlineLevel="0" collapsed="false">
      <c r="A2" s="4" t="s">
        <v>868</v>
      </c>
    </row>
    <row r="4" customFormat="false" ht="15" hidden="false" customHeight="false" outlineLevel="0" collapsed="false">
      <c r="A4" s="14" t="s">
        <v>444</v>
      </c>
      <c r="B4" s="14" t="s">
        <v>53</v>
      </c>
      <c r="C4" s="14" t="s">
        <v>446</v>
      </c>
      <c r="D4" s="14" t="s">
        <v>447</v>
      </c>
      <c r="E4" s="14" t="s">
        <v>512</v>
      </c>
      <c r="F4" s="14" t="s">
        <v>58</v>
      </c>
    </row>
    <row r="5" customFormat="false" ht="15" hidden="false" customHeight="false" outlineLevel="0" collapsed="false">
      <c r="A5" s="9" t="s">
        <v>869</v>
      </c>
      <c r="B5" s="3" t="s">
        <v>62</v>
      </c>
      <c r="C5" s="78" t="n">
        <v>120000</v>
      </c>
      <c r="D5" s="78" t="n">
        <v>300000</v>
      </c>
      <c r="E5" s="78" t="n">
        <v>450000</v>
      </c>
      <c r="F5" s="3" t="s">
        <v>870</v>
      </c>
    </row>
    <row r="6" customFormat="false" ht="15" hidden="false" customHeight="false" outlineLevel="0" collapsed="false">
      <c r="A6" s="3" t="s">
        <v>871</v>
      </c>
      <c r="B6" s="3" t="s">
        <v>454</v>
      </c>
      <c r="C6" s="35" t="n">
        <f aca="false">Assumptions!$D$10</f>
        <v>42</v>
      </c>
      <c r="D6" s="35" t="n">
        <f aca="false">Assumptions!$D$10</f>
        <v>42</v>
      </c>
      <c r="E6" s="35" t="n">
        <f aca="false">Assumptions!$D$10</f>
        <v>42</v>
      </c>
      <c r="F6" s="3" t="s">
        <v>77</v>
      </c>
    </row>
    <row r="7" customFormat="false" ht="15" hidden="false" customHeight="false" outlineLevel="0" collapsed="false">
      <c r="A7" s="3" t="s">
        <v>872</v>
      </c>
      <c r="B7" s="3" t="s">
        <v>66</v>
      </c>
      <c r="C7" s="34" t="n">
        <f aca="false">LandedPctMedium</f>
        <v>0.38</v>
      </c>
      <c r="D7" s="34" t="n">
        <f aca="false">LandedPctMedium</f>
        <v>0.38</v>
      </c>
      <c r="E7" s="34" t="n">
        <f aca="false">LandedPctMedium</f>
        <v>0.38</v>
      </c>
      <c r="F7" s="3"/>
    </row>
    <row r="8" customFormat="false" ht="15" hidden="false" customHeight="false" outlineLevel="0" collapsed="false">
      <c r="A8" s="3" t="s">
        <v>873</v>
      </c>
      <c r="B8" s="3" t="s">
        <v>95</v>
      </c>
      <c r="C8" s="62" t="n">
        <f aca="false">C5/(C6*Assumptions!$D$70)</f>
        <v>4761.90476190476</v>
      </c>
      <c r="D8" s="62" t="n">
        <f aca="false">D5/(D6*Assumptions!$D$70)</f>
        <v>11904.7619047619</v>
      </c>
      <c r="E8" s="62" t="n">
        <f aca="false">E5/(E6*Assumptions!$D$70)</f>
        <v>17857.1428571429</v>
      </c>
      <c r="F8" s="3"/>
    </row>
    <row r="9" customFormat="false" ht="15" hidden="false" customHeight="false" outlineLevel="0" collapsed="false">
      <c r="A9" s="3" t="s">
        <v>456</v>
      </c>
      <c r="B9" s="3" t="s">
        <v>62</v>
      </c>
      <c r="C9" s="38" t="n">
        <f aca="false">C8*C6*C7</f>
        <v>76000</v>
      </c>
      <c r="D9" s="38" t="n">
        <f aca="false">D8*D6*D7</f>
        <v>190000</v>
      </c>
      <c r="E9" s="38" t="n">
        <f aca="false">E8*E6*E7</f>
        <v>285000</v>
      </c>
      <c r="F9" s="3"/>
    </row>
    <row r="10" customFormat="false" ht="15" hidden="false" customHeight="false" outlineLevel="0" collapsed="false">
      <c r="A10" s="3" t="s">
        <v>874</v>
      </c>
      <c r="B10" s="3" t="s">
        <v>62</v>
      </c>
      <c r="C10" s="60" t="n">
        <f aca="false">C8*Assumptions!$D$71</f>
        <v>19047.6190476191</v>
      </c>
      <c r="D10" s="60" t="n">
        <f aca="false">D8*Assumptions!$D$71</f>
        <v>47619.0476190476</v>
      </c>
      <c r="E10" s="60" t="n">
        <f aca="false">E8*Assumptions!$D$71</f>
        <v>71428.5714285714</v>
      </c>
      <c r="F10" s="3"/>
    </row>
    <row r="11" customFormat="false" ht="15" hidden="false" customHeight="false" outlineLevel="0" collapsed="false">
      <c r="A11" s="3" t="s">
        <v>875</v>
      </c>
      <c r="B11" s="3" t="s">
        <v>62</v>
      </c>
      <c r="C11" s="60" t="n">
        <f aca="false">C5*Assumptions!$D$72</f>
        <v>6000</v>
      </c>
      <c r="D11" s="60" t="n">
        <f aca="false">D5*Assumptions!$D$72</f>
        <v>15000</v>
      </c>
      <c r="E11" s="60" t="n">
        <f aca="false">E5*Assumptions!$D$72</f>
        <v>22500</v>
      </c>
      <c r="F11" s="3"/>
    </row>
    <row r="12" customFormat="false" ht="15" hidden="false" customHeight="false" outlineLevel="0" collapsed="false">
      <c r="A12" s="3" t="s">
        <v>876</v>
      </c>
      <c r="B12" s="3" t="s">
        <v>62</v>
      </c>
      <c r="C12" s="60" t="n">
        <f aca="false">C5*Assumptions!$D$73</f>
        <v>3600</v>
      </c>
      <c r="D12" s="60" t="n">
        <f aca="false">D5*Assumptions!$D$73</f>
        <v>9000</v>
      </c>
      <c r="E12" s="60" t="n">
        <f aca="false">E5*Assumptions!$D$73</f>
        <v>13500</v>
      </c>
      <c r="F12" s="3"/>
    </row>
    <row r="13" customFormat="false" ht="15" hidden="false" customHeight="false" outlineLevel="0" collapsed="false">
      <c r="A13" s="3" t="s">
        <v>458</v>
      </c>
      <c r="B13" s="3" t="s">
        <v>62</v>
      </c>
      <c r="C13" s="60" t="n">
        <f aca="false">C5*Assumptions!$D$74</f>
        <v>2400</v>
      </c>
      <c r="D13" s="60" t="n">
        <f aca="false">D5*Assumptions!$D$74</f>
        <v>6000</v>
      </c>
      <c r="E13" s="60" t="n">
        <f aca="false">E5*Assumptions!$D$74</f>
        <v>9000</v>
      </c>
      <c r="F13" s="3"/>
    </row>
    <row r="14" customFormat="false" ht="15" hidden="false" customHeight="false" outlineLevel="0" collapsed="false">
      <c r="A14" s="9" t="s">
        <v>493</v>
      </c>
      <c r="B14" s="3" t="s">
        <v>62</v>
      </c>
      <c r="C14" s="29" t="n">
        <f aca="false">C5-C9-C10-C11-C12-C13</f>
        <v>12952.3809523809</v>
      </c>
      <c r="D14" s="29" t="n">
        <f aca="false">D5-D9-D10-D11-D12-D13</f>
        <v>32380.9523809524</v>
      </c>
      <c r="E14" s="29" t="n">
        <f aca="false">E5-E9-E10-E11-E12-E13</f>
        <v>48571.4285714285</v>
      </c>
      <c r="F14" s="3"/>
    </row>
    <row r="16" customFormat="false" ht="15" hidden="false" customHeight="false" outlineLevel="0" collapsed="false">
      <c r="A16" s="3" t="s">
        <v>877</v>
      </c>
      <c r="B16" s="3" t="s">
        <v>878</v>
      </c>
      <c r="C16" s="12" t="n">
        <v>4</v>
      </c>
      <c r="D16" s="12" t="n">
        <v>4</v>
      </c>
      <c r="E16" s="12" t="n">
        <v>4</v>
      </c>
      <c r="F16" s="3" t="s">
        <v>80</v>
      </c>
    </row>
    <row r="17" customFormat="false" ht="15" hidden="false" customHeight="false" outlineLevel="0" collapsed="false">
      <c r="A17" s="3" t="s">
        <v>879</v>
      </c>
      <c r="B17" s="3" t="s">
        <v>95</v>
      </c>
      <c r="C17" s="62" t="n">
        <f aca="false">FX!$B$9</f>
        <v>1400</v>
      </c>
      <c r="D17" s="62" t="n">
        <f aca="false">FX!$B$9</f>
        <v>1400</v>
      </c>
      <c r="E17" s="62" t="n">
        <f aca="false">FX!$B$9</f>
        <v>1400</v>
      </c>
      <c r="F17" s="3" t="s">
        <v>880</v>
      </c>
    </row>
    <row r="18" customFormat="false" ht="15" hidden="false" customHeight="false" outlineLevel="0" collapsed="false">
      <c r="A18" s="3" t="s">
        <v>881</v>
      </c>
      <c r="B18" s="3" t="s">
        <v>454</v>
      </c>
      <c r="C18" s="16" t="n">
        <v>2.5</v>
      </c>
      <c r="F18" s="3" t="s">
        <v>80</v>
      </c>
    </row>
    <row r="19" customFormat="false" ht="15" hidden="false" customHeight="false" outlineLevel="0" collapsed="false">
      <c r="A19" s="3" t="s">
        <v>882</v>
      </c>
      <c r="B19" s="3" t="s">
        <v>66</v>
      </c>
      <c r="D19" s="18" t="n">
        <v>0.15</v>
      </c>
      <c r="E19" s="18" t="n">
        <v>0.15</v>
      </c>
      <c r="F19" s="3" t="s">
        <v>80</v>
      </c>
    </row>
    <row r="20" customFormat="false" ht="15" hidden="false" customHeight="false" outlineLevel="0" collapsed="false">
      <c r="A20" s="3" t="s">
        <v>883</v>
      </c>
      <c r="B20" s="3" t="s">
        <v>454</v>
      </c>
      <c r="C20" s="40" t="n">
        <f aca="false">C18</f>
        <v>2.5</v>
      </c>
      <c r="D20" s="40" t="n">
        <f aca="false">C20*(1+D19)</f>
        <v>2.875</v>
      </c>
      <c r="E20" s="40" t="n">
        <f aca="false">D20*(1+E19)</f>
        <v>3.30625</v>
      </c>
      <c r="F20" s="3" t="s">
        <v>80</v>
      </c>
    </row>
    <row r="21" customFormat="false" ht="15" hidden="false" customHeight="false" outlineLevel="0" collapsed="false">
      <c r="A21" s="3" t="s">
        <v>884</v>
      </c>
      <c r="B21" s="3" t="s">
        <v>454</v>
      </c>
      <c r="C21" s="35" t="n">
        <f aca="false">FX!$B$20/C17</f>
        <v>12.1878121878122</v>
      </c>
      <c r="D21" s="35" t="n">
        <f aca="false">FX!$B$20/D17</f>
        <v>12.1878121878122</v>
      </c>
      <c r="E21" s="35" t="n">
        <f aca="false">FX!$B$20/E17</f>
        <v>12.1878121878122</v>
      </c>
      <c r="F21" s="3" t="s">
        <v>885</v>
      </c>
    </row>
    <row r="22" customFormat="false" ht="15" hidden="false" customHeight="false" outlineLevel="0" collapsed="false">
      <c r="A22" s="3" t="s">
        <v>886</v>
      </c>
      <c r="B22" s="3" t="s">
        <v>62</v>
      </c>
      <c r="C22" s="38" t="n">
        <f aca="false">C16*C17*C21</f>
        <v>68251.7482517483</v>
      </c>
      <c r="D22" s="38" t="n">
        <f aca="false">D16*D17*D21</f>
        <v>68251.7482517483</v>
      </c>
      <c r="E22" s="38" t="n">
        <f aca="false">E16*E17*E21</f>
        <v>68251.7482517483</v>
      </c>
      <c r="F22" s="3" t="s">
        <v>286</v>
      </c>
    </row>
    <row r="23" customFormat="false" ht="15" hidden="false" customHeight="false" outlineLevel="0" collapsed="false">
      <c r="A23" s="9" t="s">
        <v>887</v>
      </c>
      <c r="B23" s="3" t="s">
        <v>62</v>
      </c>
      <c r="C23" s="29" t="n">
        <f aca="false">C16*C17*C20</f>
        <v>14000</v>
      </c>
      <c r="D23" s="29" t="n">
        <f aca="false">D16*D17*D20</f>
        <v>16100</v>
      </c>
      <c r="E23" s="29" t="n">
        <f aca="false">E16*E17*E20</f>
        <v>18515</v>
      </c>
      <c r="F23" s="3"/>
    </row>
    <row r="25" customFormat="false" ht="15" hidden="false" customHeight="false" outlineLevel="0" collapsed="false">
      <c r="A25" s="3" t="s">
        <v>888</v>
      </c>
      <c r="B25" s="3" t="s">
        <v>62</v>
      </c>
      <c r="C25" s="28" t="n">
        <v>850</v>
      </c>
      <c r="D25" s="28" t="n">
        <v>1200</v>
      </c>
      <c r="E25" s="28" t="n">
        <v>1200</v>
      </c>
      <c r="F25" s="3" t="s">
        <v>889</v>
      </c>
    </row>
    <row r="26" customFormat="false" ht="15" hidden="false" customHeight="false" outlineLevel="0" collapsed="false">
      <c r="A26" s="3" t="s">
        <v>890</v>
      </c>
      <c r="B26" s="3" t="s">
        <v>62</v>
      </c>
      <c r="C26" s="38" t="n">
        <f aca="false">C25*12</f>
        <v>10200</v>
      </c>
      <c r="D26" s="38" t="n">
        <f aca="false">D25*12</f>
        <v>14400</v>
      </c>
      <c r="E26" s="38" t="n">
        <f aca="false">E25*12</f>
        <v>14400</v>
      </c>
      <c r="F26" s="3"/>
    </row>
    <row r="27" customFormat="false" ht="15" hidden="false" customHeight="false" outlineLevel="0" collapsed="false">
      <c r="A27" s="3" t="s">
        <v>891</v>
      </c>
      <c r="B27" s="3" t="s">
        <v>62</v>
      </c>
      <c r="C27" s="38" t="n">
        <f aca="false">0</f>
        <v>0</v>
      </c>
      <c r="D27" s="60" t="n">
        <f aca="false">Assumptions!$D$94+Assumptions!$D$95+Assumptions!$D$96+Assumptions!$D$97</f>
        <v>2560</v>
      </c>
      <c r="E27" s="60" t="n">
        <f aca="false">Assumptions!$D$94+Assumptions!$D$95+Assumptions!$D$96+Assumptions!$D$97</f>
        <v>2560</v>
      </c>
      <c r="F27" s="3"/>
    </row>
    <row r="28" customFormat="false" ht="15" hidden="false" customHeight="false" outlineLevel="0" collapsed="false">
      <c r="A28" s="9" t="s">
        <v>892</v>
      </c>
      <c r="B28" s="3" t="s">
        <v>62</v>
      </c>
      <c r="C28" s="29" t="n">
        <f aca="false">C5+C22</f>
        <v>188251.748251748</v>
      </c>
      <c r="D28" s="29" t="n">
        <f aca="false">D5+D22</f>
        <v>368251.748251748</v>
      </c>
      <c r="E28" s="29" t="n">
        <f aca="false">E5+E22</f>
        <v>518251.748251748</v>
      </c>
      <c r="F28" s="3"/>
    </row>
    <row r="29" customFormat="false" ht="15" hidden="false" customHeight="false" outlineLevel="0" collapsed="false">
      <c r="A29" s="9" t="s">
        <v>893</v>
      </c>
      <c r="B29" s="3" t="s">
        <v>62</v>
      </c>
      <c r="C29" s="29" t="n">
        <f aca="false">C14+C23-C26-C27</f>
        <v>16752.3809523809</v>
      </c>
      <c r="D29" s="29" t="n">
        <f aca="false">D14+D23-D26-D27</f>
        <v>31520.9523809524</v>
      </c>
      <c r="E29" s="29" t="n">
        <f aca="false">E14+E23-E26-E27</f>
        <v>50126.4285714285</v>
      </c>
      <c r="F29" s="3"/>
    </row>
    <row r="30" customFormat="false" ht="15" hidden="false" customHeight="false" outlineLevel="0" collapsed="false">
      <c r="A30" s="3" t="s">
        <v>894</v>
      </c>
      <c r="B30" s="3" t="s">
        <v>66</v>
      </c>
      <c r="C30" s="34" t="n">
        <f aca="false">IF(C28=0,0,C29/C28)</f>
        <v>0.0889892450293638</v>
      </c>
      <c r="D30" s="34" t="n">
        <f aca="false">IF(D28=0,0,D29/D28)</f>
        <v>0.0855962056679869</v>
      </c>
      <c r="E30" s="34" t="n">
        <f aca="false">IF(E28=0,0,E29/E28)</f>
        <v>0.0967221601094896</v>
      </c>
      <c r="F30" s="3"/>
    </row>
    <row r="31" customFormat="false" ht="15" hidden="false" customHeight="false" outlineLevel="0" collapsed="false">
      <c r="A31" s="3" t="s">
        <v>895</v>
      </c>
      <c r="B31" s="3" t="s">
        <v>62</v>
      </c>
      <c r="C31" s="38" t="n">
        <f aca="false">C29</f>
        <v>16752.3809523809</v>
      </c>
      <c r="D31" s="38" t="n">
        <f aca="false">C31+D29</f>
        <v>48273.3333333333</v>
      </c>
      <c r="E31" s="38" t="n">
        <f aca="false">D31+E29</f>
        <v>98399.7619047618</v>
      </c>
      <c r="F31" s="3"/>
    </row>
    <row r="33" customFormat="false" ht="15" hidden="false" customHeight="false" outlineLevel="0" collapsed="false">
      <c r="A33" s="4" t="s">
        <v>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2026-10-08T17:15:45Z</dcterms:created>
  <dc:creator>openpyxl</dc:creator>
  <dc:description/>
  <dc:language>en-US</dc:language>
  <cp:lastModifiedBy/>
  <dcterms:modified xsi:type="dcterms:W3CDTF">2026-10-08T20:19:12Z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